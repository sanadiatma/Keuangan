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Ikhsan Adiatma\Downloads\"/>
    </mc:Choice>
  </mc:AlternateContent>
  <xr:revisionPtr revIDLastSave="0" documentId="13_ncr:1_{83011E01-B808-46C5-8969-8A4453FC218A}" xr6:coauthVersionLast="47" xr6:coauthVersionMax="47" xr10:uidLastSave="{00000000-0000-0000-0000-000000000000}"/>
  <bookViews>
    <workbookView xWindow="-120" yWindow="-120" windowWidth="29040" windowHeight="15720" xr2:uid="{DA090534-8999-4927-B410-897B07CEE14A}"/>
  </bookViews>
  <sheets>
    <sheet name="Dashboard" sheetId="1" r:id="rId1"/>
    <sheet name="Pengeluaran" sheetId="5" r:id="rId2"/>
    <sheet name="Pemasukan" sheetId="6" r:id="rId3"/>
    <sheet name="DataTransaksi" sheetId="3" r:id="rId4"/>
    <sheet name="MasterData" sheetId="2" r:id="rId5"/>
  </sheets>
  <definedNames>
    <definedName name="PEMASUKAN">Table3[JENIS]</definedName>
    <definedName name="PENGELUARAN">Table4[JENIS]</definedName>
    <definedName name="TABUNGAN">Table5[JENIS]</definedName>
  </definedNames>
  <calcPr calcId="191029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" i="3" l="1"/>
  <c r="F3" i="3" s="1"/>
  <c r="N10" i="1"/>
  <c r="N11" i="1"/>
  <c r="N12" i="1"/>
  <c r="N9" i="1"/>
  <c r="L12" i="1"/>
  <c r="L11" i="1"/>
  <c r="L10" i="1"/>
  <c r="L9" i="1"/>
  <c r="L6" i="1"/>
  <c r="L5" i="1"/>
  <c r="L4" i="1"/>
  <c r="L3" i="1"/>
  <c r="G7" i="1"/>
  <c r="G5" i="1"/>
  <c r="R14" i="2"/>
  <c r="Q14" i="2"/>
  <c r="G18" i="1"/>
  <c r="G16" i="1"/>
  <c r="D22" i="1"/>
  <c r="D21" i="1"/>
  <c r="Q5" i="2"/>
  <c r="S5" i="2"/>
  <c r="R5" i="2"/>
  <c r="I2" i="3"/>
  <c r="I3" i="3"/>
  <c r="G2" i="3"/>
  <c r="G3" i="3"/>
  <c r="H2" i="3"/>
  <c r="H3" i="3"/>
  <c r="D5" i="1"/>
  <c r="Q15" i="2" l="1" a="1"/>
  <c r="Q15" i="2" s="1"/>
  <c r="D20" i="1" s="1"/>
  <c r="J22" i="1" a="1"/>
  <c r="J22" i="1" s="1"/>
  <c r="J21" i="1" a="1"/>
  <c r="J21" i="1" s="1"/>
  <c r="O12" i="1"/>
  <c r="O3" i="1"/>
  <c r="O5" i="1"/>
  <c r="O6" i="1"/>
  <c r="I16" i="1"/>
  <c r="O9" i="1"/>
  <c r="O10" i="1"/>
  <c r="O11" i="1"/>
  <c r="O4" i="1"/>
  <c r="Q9" i="2"/>
  <c r="R9" i="2"/>
  <c r="I18" i="1"/>
  <c r="S9" i="2"/>
  <c r="Q6" i="2" a="1"/>
  <c r="Q6" i="2" s="1"/>
  <c r="I5" i="1"/>
  <c r="I7" i="1"/>
  <c r="D18" i="1" l="1"/>
  <c r="D19" i="1" s="1"/>
  <c r="J11" i="1" a="1"/>
  <c r="J11" i="1" s="1"/>
  <c r="J10" i="1" a="1"/>
  <c r="J10" i="1" s="1"/>
  <c r="Q10" i="2" a="1"/>
  <c r="Q10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<sst xmlns="http://schemas.openxmlformats.org/spreadsheetml/2006/main" count="98" uniqueCount="37">
  <si>
    <t>PEMASUKAN</t>
  </si>
  <si>
    <t>KATEGORI</t>
  </si>
  <si>
    <t>JENIS</t>
  </si>
  <si>
    <t>TIDAK TETAP</t>
  </si>
  <si>
    <t>NO</t>
  </si>
  <si>
    <t>PENGELUARAN</t>
  </si>
  <si>
    <t>BUNGA</t>
  </si>
  <si>
    <t>TABUNGAN</t>
  </si>
  <si>
    <t>Tanggal</t>
  </si>
  <si>
    <t>Jenis</t>
  </si>
  <si>
    <t>Jenis Transaksi</t>
  </si>
  <si>
    <t>Kategori</t>
  </si>
  <si>
    <t>Nominal</t>
  </si>
  <si>
    <t>:</t>
  </si>
  <si>
    <t>Keterangan</t>
  </si>
  <si>
    <t>Saldo</t>
  </si>
  <si>
    <t>Bulan</t>
  </si>
  <si>
    <t>May</t>
  </si>
  <si>
    <t>SALDO AWAL</t>
  </si>
  <si>
    <t>Pemasukan</t>
  </si>
  <si>
    <t>Pengeluaran</t>
  </si>
  <si>
    <t>Tabungan</t>
  </si>
  <si>
    <t>Grand Total</t>
  </si>
  <si>
    <t>Tahun</t>
  </si>
  <si>
    <t>TOTAL BULANAN</t>
  </si>
  <si>
    <t>Dana Darurat</t>
  </si>
  <si>
    <t>Bulanan</t>
  </si>
  <si>
    <t>Realita</t>
  </si>
  <si>
    <t>Tersimpan</t>
  </si>
  <si>
    <t>Terpakai</t>
  </si>
  <si>
    <t>Target</t>
  </si>
  <si>
    <t>Tahunan</t>
  </si>
  <si>
    <t>TOTAL TAHUNAN</t>
  </si>
  <si>
    <t>Saldo Bersih</t>
  </si>
  <si>
    <t>Saldo Total</t>
  </si>
  <si>
    <t>Bunga</t>
  </si>
  <si>
    <t xml:space="preserve">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</si>
</sst>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Rp&quot;* #,##0.00_-;\-&quot;Rp&quot;* #,##0.00_-;_-&quot;Rp&quot;* &quot;-&quot;??_-;_-@_-"/>
    <numFmt numFmtId="164" formatCode="_-[$Rp-421]* #,##0.00_-;\-[$Rp-421]* #,##0.00_-;_-[$Rp-421]* &quot;-&quot;??_-;_-@_-"/>
    <numFmt numFmtId="165" formatCode="&quot;Rp&quot;#,##0.00"/>
  </numFmts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Noto Sans JP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/>
      <top/>
      <bottom style="thin">
        <color theme="1"/>
      </bottom>
      <diagonal/>
    </border>
    <border>
      <left style="medium">
        <color theme="4" tint="-0.249977111117893"/>
      </left>
      <right/>
      <top style="medium">
        <color theme="4" tint="-0.249977111117893"/>
      </top>
      <bottom/>
      <diagonal/>
    </border>
    <border>
      <left/>
      <right/>
      <top style="medium">
        <color theme="4" tint="-0.249977111117893"/>
      </top>
      <bottom/>
      <diagonal/>
    </border>
    <border>
      <left/>
      <right style="medium">
        <color theme="4" tint="-0.249977111117893"/>
      </right>
      <top style="medium">
        <color theme="4" tint="-0.249977111117893"/>
      </top>
      <bottom/>
      <diagonal/>
    </border>
    <border>
      <left style="medium">
        <color theme="4" tint="-0.249977111117893"/>
      </left>
      <right/>
      <top/>
      <bottom/>
      <diagonal/>
    </border>
    <border>
      <left/>
      <right style="medium">
        <color theme="4" tint="-0.249977111117893"/>
      </right>
      <top/>
      <bottom/>
      <diagonal/>
    </border>
    <border>
      <left style="medium">
        <color theme="4" tint="-0.249977111117893"/>
      </left>
      <right/>
      <top/>
      <bottom style="medium">
        <color theme="4" tint="-0.249977111117893"/>
      </bottom>
      <diagonal/>
    </border>
    <border>
      <left/>
      <right/>
      <top/>
      <bottom style="medium">
        <color theme="4" tint="-0.249977111117893"/>
      </bottom>
      <diagonal/>
    </border>
    <border>
      <left/>
      <right style="medium">
        <color theme="4" tint="-0.249977111117893"/>
      </right>
      <top/>
      <bottom style="medium">
        <color theme="4" tint="-0.249977111117893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4" fontId="5" fillId="0" borderId="0" applyFont="0" applyFill="0" applyBorder="0" applyAlignment="0" applyProtection="0"/>
  </cellStyleXfs>
  <cellXfs count="80">
    <xf numFmtId="0" fontId="0" fillId="0" borderId="0" xfId="0"/>
    <xf numFmtId="14" fontId="0" fillId="0" borderId="0" xfId="0" applyNumberFormat="1"/>
    <xf numFmtId="0" fontId="1" fillId="2" borderId="0" xfId="0" applyFont="1" applyFill="1"/>
    <xf numFmtId="0" fontId="1" fillId="2" borderId="2" xfId="0" applyFont="1" applyFill="1" applyBorder="1"/>
    <xf numFmtId="0" fontId="0" fillId="0" borderId="5" xfId="0" applyBorder="1"/>
    <xf numFmtId="0" fontId="0" fillId="0" borderId="6" xfId="0" applyBorder="1"/>
    <xf numFmtId="14" fontId="1" fillId="2" borderId="1" xfId="0" applyNumberFormat="1" applyFont="1" applyFill="1" applyBorder="1"/>
    <xf numFmtId="165" fontId="0" fillId="0" borderId="0" xfId="0" applyNumberFormat="1"/>
    <xf numFmtId="165" fontId="0" fillId="0" borderId="5" xfId="0" applyNumberFormat="1" applyBorder="1"/>
    <xf numFmtId="14" fontId="4" fillId="0" borderId="4" xfId="0" applyNumberFormat="1" applyFont="1" applyBorder="1"/>
    <xf numFmtId="0" fontId="0" fillId="0" borderId="8" xfId="0" applyBorder="1"/>
    <xf numFmtId="0" fontId="6" fillId="0" borderId="3" xfId="0" applyFont="1" applyBorder="1"/>
    <xf numFmtId="0" fontId="6" fillId="0" borderId="10" xfId="0" applyFont="1" applyBorder="1"/>
    <xf numFmtId="0" fontId="6" fillId="0" borderId="7" xfId="0" applyFont="1" applyBorder="1"/>
    <xf numFmtId="0" fontId="6" fillId="0" borderId="13" xfId="0" applyFont="1" applyBorder="1"/>
    <xf numFmtId="0" fontId="6" fillId="3" borderId="0" xfId="0" applyFont="1" applyFill="1"/>
    <xf numFmtId="0" fontId="6" fillId="0" borderId="9" xfId="0" applyFont="1" applyBorder="1"/>
    <xf numFmtId="0" fontId="6" fillId="0" borderId="12" xfId="0" applyFont="1" applyBorder="1"/>
    <xf numFmtId="0" fontId="6" fillId="0" borderId="15" xfId="0" applyFont="1" applyBorder="1"/>
    <xf numFmtId="0" fontId="6" fillId="0" borderId="11" xfId="0" applyFont="1" applyBorder="1"/>
    <xf numFmtId="0" fontId="6" fillId="3" borderId="17" xfId="0" applyFont="1" applyFill="1" applyBorder="1"/>
    <xf numFmtId="10" fontId="6" fillId="3" borderId="0" xfId="0" applyNumberFormat="1" applyFont="1" applyFill="1"/>
    <xf numFmtId="0" fontId="6" fillId="0" borderId="14" xfId="0" applyFont="1" applyBorder="1"/>
    <xf numFmtId="0" fontId="6" fillId="3" borderId="3" xfId="0" applyFont="1" applyFill="1" applyBorder="1"/>
    <xf numFmtId="0" fontId="1" fillId="2" borderId="1" xfId="0" applyFont="1" applyFill="1" applyBorder="1"/>
    <xf numFmtId="0" fontId="6" fillId="4" borderId="0" xfId="0" applyFont="1" applyFill="1"/>
    <xf numFmtId="0" fontId="6" fillId="4" borderId="0" xfId="0" applyFont="1" applyFill="1" applyAlignment="1">
      <alignment horizontal="right"/>
    </xf>
    <xf numFmtId="14" fontId="6" fillId="4" borderId="0" xfId="0" applyNumberFormat="1" applyFont="1" applyFill="1"/>
    <xf numFmtId="0" fontId="6" fillId="4" borderId="19" xfId="0" applyFont="1" applyFill="1" applyBorder="1"/>
    <xf numFmtId="0" fontId="6" fillId="4" borderId="20" xfId="0" applyFont="1" applyFill="1" applyBorder="1"/>
    <xf numFmtId="0" fontId="6" fillId="4" borderId="21" xfId="0" applyFont="1" applyFill="1" applyBorder="1"/>
    <xf numFmtId="0" fontId="6" fillId="4" borderId="22" xfId="0" applyFont="1" applyFill="1" applyBorder="1"/>
    <xf numFmtId="0" fontId="6" fillId="4" borderId="23" xfId="0" applyFont="1" applyFill="1" applyBorder="1"/>
    <xf numFmtId="0" fontId="6" fillId="4" borderId="24" xfId="0" applyFont="1" applyFill="1" applyBorder="1"/>
    <xf numFmtId="0" fontId="6" fillId="4" borderId="25" xfId="0" applyFont="1" applyFill="1" applyBorder="1"/>
    <xf numFmtId="0" fontId="6" fillId="4" borderId="26" xfId="0" applyFont="1" applyFill="1" applyBorder="1"/>
    <xf numFmtId="0" fontId="6" fillId="4" borderId="20" xfId="0" applyFont="1" applyFill="1" applyBorder="1" applyAlignment="1">
      <alignment horizontal="center" vertical="center"/>
    </xf>
    <xf numFmtId="0" fontId="6" fillId="4" borderId="21" xfId="0" applyFont="1" applyFill="1" applyBorder="1" applyAlignment="1">
      <alignment horizontal="center" vertical="center"/>
    </xf>
    <xf numFmtId="0" fontId="6" fillId="4" borderId="22" xfId="0" applyFont="1" applyFill="1" applyBorder="1" applyAlignment="1">
      <alignment horizontal="left" vertical="center"/>
    </xf>
    <xf numFmtId="0" fontId="6" fillId="4" borderId="0" xfId="0" applyFont="1" applyFill="1" applyAlignment="1">
      <alignment horizontal="center" vertical="center"/>
    </xf>
    <xf numFmtId="9" fontId="6" fillId="4" borderId="0" xfId="0" applyNumberFormat="1" applyFont="1" applyFill="1" applyAlignment="1">
      <alignment horizontal="center" vertical="center"/>
    </xf>
    <xf numFmtId="9" fontId="6" fillId="4" borderId="23" xfId="1" applyFont="1" applyFill="1" applyBorder="1" applyAlignment="1">
      <alignment horizontal="center" vertical="center"/>
    </xf>
    <xf numFmtId="0" fontId="6" fillId="4" borderId="24" xfId="0" applyFont="1" applyFill="1" applyBorder="1" applyAlignment="1">
      <alignment horizontal="left" vertical="center"/>
    </xf>
    <xf numFmtId="0" fontId="6" fillId="4" borderId="25" xfId="0" applyFont="1" applyFill="1" applyBorder="1" applyAlignment="1">
      <alignment horizontal="center" vertical="center"/>
    </xf>
    <xf numFmtId="9" fontId="6" fillId="4" borderId="25" xfId="0" applyNumberFormat="1" applyFont="1" applyFill="1" applyBorder="1" applyAlignment="1">
      <alignment horizontal="center" vertical="center"/>
    </xf>
    <xf numFmtId="9" fontId="6" fillId="4" borderId="26" xfId="1" applyFont="1" applyFill="1" applyBorder="1" applyAlignment="1">
      <alignment horizontal="center" vertical="center"/>
    </xf>
    <xf numFmtId="0" fontId="6" fillId="3" borderId="11" xfId="0" applyFont="1" applyFill="1" applyBorder="1"/>
    <xf numFmtId="0" fontId="6" fillId="4" borderId="19" xfId="0" applyFont="1" applyFill="1" applyBorder="1" applyAlignment="1">
      <alignment vertical="center"/>
    </xf>
    <xf numFmtId="0" fontId="6" fillId="4" borderId="20" xfId="0" applyFont="1" applyFill="1" applyBorder="1" applyAlignment="1">
      <alignment vertical="center"/>
    </xf>
    <xf numFmtId="0" fontId="6" fillId="4" borderId="0" xfId="0" applyFont="1" applyFill="1" applyAlignment="1">
      <alignment vertical="center"/>
    </xf>
    <xf numFmtId="0" fontId="6" fillId="4" borderId="25" xfId="0" applyFont="1" applyFill="1" applyBorder="1" applyAlignment="1">
      <alignment vertical="center"/>
    </xf>
    <xf numFmtId="0" fontId="6" fillId="4" borderId="23" xfId="0" applyFont="1" applyFill="1" applyBorder="1" applyAlignment="1">
      <alignment horizontal="center" vertical="center"/>
    </xf>
    <xf numFmtId="0" fontId="6" fillId="5" borderId="0" xfId="0" applyFont="1" applyFill="1" applyAlignment="1">
      <alignment horizontal="right" vertical="center"/>
    </xf>
    <xf numFmtId="0" fontId="6" fillId="4" borderId="0" xfId="0" applyFont="1" applyFill="1" applyAlignment="1">
      <alignment horizontal="right" vertical="center"/>
    </xf>
    <xf numFmtId="164" fontId="6" fillId="5" borderId="0" xfId="0" applyNumberFormat="1" applyFont="1" applyFill="1" applyAlignment="1">
      <alignment horizontal="right" vertical="center"/>
    </xf>
    <xf numFmtId="0" fontId="6" fillId="0" borderId="16" xfId="0" applyFont="1" applyBorder="1"/>
    <xf numFmtId="164" fontId="6" fillId="4" borderId="0" xfId="0" applyNumberFormat="1" applyFont="1" applyFill="1"/>
    <xf numFmtId="164" fontId="6" fillId="4" borderId="23" xfId="2" applyNumberFormat="1" applyFont="1" applyFill="1" applyBorder="1"/>
    <xf numFmtId="164" fontId="6" fillId="4" borderId="25" xfId="0" applyNumberFormat="1" applyFont="1" applyFill="1" applyBorder="1"/>
    <xf numFmtId="164" fontId="6" fillId="4" borderId="26" xfId="2" applyNumberFormat="1" applyFont="1" applyFill="1" applyBorder="1"/>
    <xf numFmtId="164" fontId="6" fillId="4" borderId="23" xfId="0" applyNumberFormat="1" applyFont="1" applyFill="1" applyBorder="1"/>
    <xf numFmtId="164" fontId="6" fillId="4" borderId="26" xfId="1" applyNumberFormat="1" applyFont="1" applyFill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6" fillId="4" borderId="19" xfId="0" applyFont="1" applyFill="1" applyBorder="1" applyAlignment="1">
      <alignment horizontal="center" vertical="center"/>
    </xf>
    <xf numFmtId="0" fontId="6" fillId="4" borderId="20" xfId="0" applyFont="1" applyFill="1" applyBorder="1" applyAlignment="1">
      <alignment horizontal="center" vertical="center"/>
    </xf>
    <xf numFmtId="0" fontId="6" fillId="4" borderId="21" xfId="0" applyFont="1" applyFill="1" applyBorder="1" applyAlignment="1">
      <alignment horizontal="center" vertical="center"/>
    </xf>
    <xf numFmtId="0" fontId="6" fillId="4" borderId="22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6" fillId="4" borderId="23" xfId="0" applyFont="1" applyFill="1" applyBorder="1" applyAlignment="1">
      <alignment horizontal="center" vertical="center"/>
    </xf>
    <xf numFmtId="164" fontId="6" fillId="4" borderId="0" xfId="0" applyNumberFormat="1" applyFont="1" applyFill="1" applyAlignment="1">
      <alignment horizontal="center" vertical="center"/>
    </xf>
    <xf numFmtId="164" fontId="6" fillId="4" borderId="23" xfId="0" applyNumberFormat="1" applyFont="1" applyFill="1" applyBorder="1" applyAlignment="1">
      <alignment horizontal="center" vertical="center"/>
    </xf>
    <xf numFmtId="0" fontId="6" fillId="4" borderId="22" xfId="0" applyFont="1" applyFill="1" applyBorder="1" applyAlignment="1">
      <alignment horizontal="left" vertical="center"/>
    </xf>
    <xf numFmtId="164" fontId="6" fillId="4" borderId="20" xfId="0" applyNumberFormat="1" applyFont="1" applyFill="1" applyBorder="1" applyAlignment="1">
      <alignment horizontal="center" vertical="center"/>
    </xf>
    <xf numFmtId="164" fontId="6" fillId="4" borderId="21" xfId="0" applyNumberFormat="1" applyFont="1" applyFill="1" applyBorder="1" applyAlignment="1">
      <alignment horizontal="center" vertical="center"/>
    </xf>
    <xf numFmtId="164" fontId="6" fillId="4" borderId="25" xfId="0" applyNumberFormat="1" applyFont="1" applyFill="1" applyBorder="1" applyAlignment="1">
      <alignment horizontal="center" vertical="center"/>
    </xf>
    <xf numFmtId="164" fontId="6" fillId="4" borderId="26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18" xfId="0" applyBorder="1" applyAlignment="1">
      <alignment horizontal="center"/>
    </xf>
  </cellXfs>
  <cellStyles count="3">
    <cellStyle name="Currency" xfId="2" builtinId="4"/>
    <cellStyle name="Normal" xfId="0" builtinId="0"/>
    <cellStyle name="Percent" xfId="1" builtinId="5"/>
  </cellStyles>
  <dxfs count="27">
    <dxf>
      <border outline="0"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165" formatCode="&quot;Rp&quot;#,##0.00"/>
    </dxf>
    <dxf>
      <numFmt numFmtId="165" formatCode="&quot;Rp&quot;#,##0.0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numFmt numFmtId="19" formatCode="dd/mm/yyyy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border outline="0"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border>
        <left/>
        <right/>
        <bottom/>
      </border>
    </dxf>
    <dxf>
      <border>
        <left/>
        <right/>
        <bottom/>
      </border>
    </dxf>
    <dxf>
      <border>
        <left/>
        <right/>
        <bottom/>
      </border>
    </dxf>
    <dxf>
      <border>
        <left/>
        <right/>
        <bottom/>
      </border>
    </dxf>
    <dxf>
      <border>
        <left/>
        <right/>
        <bottom/>
      </border>
    </dxf>
    <dxf>
      <border>
        <left/>
        <right/>
        <bottom/>
      </border>
    </dxf>
    <dxf>
      <border>
        <left/>
        <right/>
        <bottom/>
      </border>
    </dxf>
    <dxf>
      <border>
        <left/>
        <right/>
        <bottom/>
      </border>
    </dxf>
    <dxf>
      <border>
        <left/>
        <right/>
        <bottom/>
      </border>
    </dxf>
    <dxf>
      <border>
        <left/>
        <right/>
        <bottom/>
      </border>
    </dxf>
    <dxf>
      <border>
        <left/>
        <right/>
        <bottom/>
      </border>
    </dxf>
    <dxf>
      <border>
        <left/>
        <right/>
        <bottom/>
      </border>
    </dxf>
    <dxf>
      <border>
        <left/>
        <right/>
        <bottom/>
      </border>
    </dxf>
    <dxf>
      <border>
        <left/>
        <right/>
        <top/>
      </border>
    </dxf>
  </dxfs>
  <tableStyles count="0" defaultTableStyle="TableStyleMedium2" defaultPivotStyle="PivotStyleLight16"/>
  <colors>
    <mruColors>
      <color rgb="FFFFE6A9"/>
      <color rgb="FFFFEEC5"/>
      <color rgb="FFDEAA79"/>
      <color rgb="FFCC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global-geography.org/af/Geography/Africa/Egypt/Pictures/Cairo/Al-Azhar_Mosque_1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23813</xdr:colOff>
      <xdr:row>1</xdr:row>
      <xdr:rowOff>23811</xdr:rowOff>
    </xdr:from>
    <xdr:to>
      <xdr:col>19</xdr:col>
      <xdr:colOff>982266</xdr:colOff>
      <xdr:row>21</xdr:row>
      <xdr:rowOff>208359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DA6429E-183D-56D3-E5FB-296D83F20C5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l="46950" t="865" r="1505" b="914"/>
        <a:stretch/>
      </xdr:blipFill>
      <xdr:spPr>
        <a:xfrm>
          <a:off x="11376422" y="261936"/>
          <a:ext cx="3851672" cy="47922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371475</xdr:colOff>
          <xdr:row>13</xdr:row>
          <xdr:rowOff>95250</xdr:rowOff>
        </xdr:from>
        <xdr:to>
          <xdr:col>3</xdr:col>
          <xdr:colOff>1019175</xdr:colOff>
          <xdr:row>15</xdr:row>
          <xdr:rowOff>38100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d-ID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Input</a:t>
              </a:r>
            </a:p>
          </xdr:txBody>
        </xdr:sp>
        <xdr:clientData fPrintsWithSheet="0"/>
      </xdr:twoCellAnchor>
    </mc:Choice>
    <mc:Fallback/>
  </mc:AlternateContent>
  <xdr:oneCellAnchor>
    <xdr:from>
      <xdr:col>11</xdr:col>
      <xdr:colOff>8283</xdr:colOff>
      <xdr:row>13</xdr:row>
      <xdr:rowOff>16565</xdr:rowOff>
    </xdr:from>
    <xdr:ext cx="3760303" cy="208721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8CA8E41-297A-3D40-AD50-4A6734579AC9}"/>
            </a:ext>
          </a:extLst>
        </xdr:cNvPr>
        <xdr:cNvSpPr txBox="1"/>
      </xdr:nvSpPr>
      <xdr:spPr>
        <a:xfrm>
          <a:off x="7263848" y="3081130"/>
          <a:ext cx="3760303" cy="20872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 rtl="1"/>
          <a:r>
            <a:rPr lang="ar-EG" sz="2800" b="0" i="0">
              <a:solidFill>
                <a:schemeClr val="tx1"/>
              </a:solidFill>
              <a:effectLst/>
              <a:latin typeface="Arabic Typesetting" panose="03020402040406030203" pitchFamily="66" charset="-78"/>
              <a:ea typeface="+mn-ea"/>
              <a:cs typeface="Arabic Typesetting" panose="03020402040406030203" pitchFamily="66" charset="-78"/>
            </a:rPr>
            <a:t> إن هذا المال خضرة حلوة. فمن أخذه بحقه، ووضعه في حقه، فنعم المعونة هو. ومن أخذه بغير حقه، كان كالذي يأكل ولا يشبع</a:t>
          </a:r>
          <a:endParaRPr lang="id-ID" sz="2800">
            <a:latin typeface="Arabic Typesetting" panose="03020402040406030203" pitchFamily="66" charset="-78"/>
            <a:cs typeface="Arabic Typesetting" panose="03020402040406030203" pitchFamily="66" charset="-78"/>
          </a:endParaRPr>
        </a:p>
      </xdr:txBody>
    </xdr:sp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khsan Adiatma" refreshedDate="45793.787276504627" createdVersion="8" refreshedVersion="8" minRefreshableVersion="3" recordCount="2" xr:uid="{2A80F637-369D-4E3F-9855-7581F5C45E00}">
  <cacheSource type="worksheet">
    <worksheetSource name="Table7"/>
  </cacheSource>
  <cacheFields count="9">
    <cacheField name="Tanggal" numFmtId="14">
      <sharedItems containsNonDate="0" containsString="0" containsBlank="1"/>
    </cacheField>
    <cacheField name="Jenis Transaksi" numFmtId="0">
      <sharedItems containsBlank="1" count="3">
        <s v="Pemasukan"/>
        <m/>
        <s v="Pengeluaran" u="1"/>
      </sharedItems>
    </cacheField>
    <cacheField name="Kategori" numFmtId="0">
      <sharedItems containsBlank="1" count="23">
        <s v="SALDO AWAL"/>
        <m/>
        <s v="MAKAN" u="1"/>
        <s v="BUNGA" u="1"/>
        <s v="GAJI" u="1"/>
        <s v="HADIAH" u="1"/>
        <s v="AKOMODASI" u="1"/>
        <s v="BELANJA" u="1"/>
        <s v="PULSA" u="1"/>
        <s v="CUKUR" u="1"/>
        <s v="BERHUTANG" u="1"/>
        <s v="MEMBAYAR HUTANG" u="1"/>
        <s v="ADMIN BANK" u="1"/>
        <s v="PAJAK" u="1"/>
        <s v="PARFUM" u="1"/>
        <s v="BENSIN" u="1"/>
        <s v="SABUN BADAN" u="1"/>
        <s v="SPIDOL" u="1"/>
        <s v="FOTOKOPI" u="1"/>
        <s v="SERVIS BULANAN" u="1"/>
        <s v="BEROBAT" u="1"/>
        <s v="ADMINISTRASI" u="1"/>
        <s v="TIKET TRANSPORTASI" u="1"/>
      </sharedItems>
    </cacheField>
    <cacheField name="Keterangan" numFmtId="0">
      <sharedItems containsNonDate="0" containsString="0" containsBlank="1"/>
    </cacheField>
    <cacheField name="Nominal" numFmtId="165">
      <sharedItems containsNonDate="0" containsString="0" containsBlank="1"/>
    </cacheField>
    <cacheField name="Saldo" numFmtId="165">
      <sharedItems containsMixedTypes="1" containsNumber="1" containsInteger="1" minValue="0" maxValue="0"/>
    </cacheField>
    <cacheField name="Bulan" numFmtId="0">
      <sharedItems count="7">
        <s v=""/>
        <s v="May" u="1"/>
        <s v="December" u="1"/>
        <s v="January" u="1"/>
        <s v="February" u="1"/>
        <s v="March" u="1"/>
        <s v="April" u="1"/>
      </sharedItems>
    </cacheField>
    <cacheField name="Jenis" numFmtId="0">
      <sharedItems count="13">
        <s v="TIDAK TETAP"/>
        <s v=""/>
        <s v="JAJAN" u="1"/>
        <s v="TETAP" u="1"/>
        <s v="BELANJA" u="1"/>
        <s v="PULSA" u="1"/>
        <s v="KEBERSIHAN" u="1"/>
        <s v="HUTANG" u="1"/>
        <s v="BANK" u="1"/>
        <s v="ADMINISTRASI" u="1"/>
        <s v="TRANSPORTASI" u="1"/>
        <s v="ATK" u="1"/>
        <s v="KESEHATAN" u="1"/>
      </sharedItems>
    </cacheField>
    <cacheField name="Tahun" numFmtId="0">
      <sharedItems count="3">
        <s v=""/>
        <s v="2025" u="1"/>
        <s v="2024" u="1"/>
      </sharedItems>
    </cacheField>
  </cacheFields>
  <extLst>
    <ext xmlns:x14="http://schemas.microsoft.com/office/spreadsheetml/2009/9/main" uri="{725AE2AE-9491-48be-B2B4-4EB974FC3084}">
      <x14:pivotCacheDefinition pivotCacheId="1287976223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m/>
    <x v="0"/>
    <x v="0"/>
    <m/>
    <m/>
    <n v="0"/>
    <x v="0"/>
    <x v="0"/>
    <x v="0"/>
  </r>
  <r>
    <m/>
    <x v="1"/>
    <x v="1"/>
    <m/>
    <m/>
    <s v=""/>
    <x v="0"/>
    <x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2B1C9-214E-4676-880B-76714A1FE6AB}" name="PivotTable23" cacheId="0" applyNumberFormats="0" applyBorderFormats="0" applyFontFormats="0" applyPatternFormats="0" applyAlignmentFormats="0" applyWidthHeightFormats="1" dataCaption="Values" updatedVersion="8" minRefreshableVersion="3" showDrill="0" useAutoFormatting="1" colGrandTotals="0" itemPrintTitles="1" createdVersion="8" indent="0" showHeaders="0" outline="1" outlineData="1" multipleFieldFilters="0" chartFormat="7" customListSort="0">
  <location ref="A1:B4" firstHeaderRow="1" firstDataRow="3" firstDataCol="1"/>
  <pivotFields count="9">
    <pivotField numFmtId="14" showAll="0"/>
    <pivotField axis="axisRow" showAll="0">
      <items count="4">
        <item h="1" x="0"/>
        <item m="1" x="2"/>
        <item h="1" x="1"/>
        <item t="default"/>
      </items>
    </pivotField>
    <pivotField showAll="0"/>
    <pivotField showAll="0"/>
    <pivotField dataField="1" numFmtId="165" showAll="0"/>
    <pivotField numFmtId="165" showAll="0"/>
    <pivotField axis="axisCol" showAll="0">
      <items count="8">
        <item m="1" x="3"/>
        <item m="1" x="4"/>
        <item m="1" x="5"/>
        <item m="1" x="6"/>
        <item m="1" x="1"/>
        <item m="1" x="2"/>
        <item x="0"/>
        <item t="default"/>
      </items>
    </pivotField>
    <pivotField axis="axisRow" showAll="0">
      <items count="14">
        <item m="1" x="9"/>
        <item m="1" x="11"/>
        <item m="1" x="8"/>
        <item m="1" x="4"/>
        <item m="1" x="7"/>
        <item m="1" x="2"/>
        <item m="1" x="6"/>
        <item m="1" x="12"/>
        <item m="1" x="5"/>
        <item m="1" x="3"/>
        <item x="0"/>
        <item m="1" x="10"/>
        <item x="1"/>
        <item t="default"/>
      </items>
    </pivotField>
    <pivotField axis="axisCol" showAll="0">
      <items count="4">
        <item m="1" x="2"/>
        <item m="1" x="1"/>
        <item x="0"/>
        <item t="default"/>
      </items>
    </pivotField>
  </pivotFields>
  <rowFields count="2">
    <field x="1"/>
    <field x="7"/>
  </rowFields>
  <rowItems count="1">
    <i t="grand">
      <x/>
    </i>
  </rowItems>
  <colFields count="2">
    <field x="8"/>
    <field x="6"/>
  </colFields>
  <dataFields count="1">
    <dataField name="Pengeluaran" fld="4" baseField="0" baseItem="0" numFmtId="165"/>
  </dataFields>
  <formats count="1">
    <format dxfId="26">
      <pivotArea type="all" dataOnly="0" outline="0" fieldPosition="0"/>
    </format>
  </formats>
  <chartFormats count="6">
    <chartFormat chart="0" format="8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8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88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8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0" format="9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"/>
          </reference>
        </references>
      </pivotArea>
    </chartFormat>
  </chartFormats>
  <pivotTableStyleInfo name="PivotStyleLight23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131036-F51C-4AB5-85B2-C70187E455F8}" name="PivotTable25" cacheId="0" applyNumberFormats="0" applyBorderFormats="0" applyFontFormats="0" applyPatternFormats="0" applyAlignmentFormats="0" applyWidthHeightFormats="1" dataCaption="Values" updatedVersion="8" minRefreshableVersion="3" showDrill="0" useAutoFormatting="1" colGrandTotals="0" itemPrintTitles="1" createdVersion="8" indent="0" showHeaders="0" outline="1" outlineData="1" multipleFieldFilters="0" chartFormat="1">
  <location ref="A1:C6" firstHeaderRow="1" firstDataRow="3" firstDataCol="1"/>
  <pivotFields count="9">
    <pivotField numFmtId="14" showAll="0"/>
    <pivotField axis="axisRow" showAll="0">
      <items count="4">
        <item x="0"/>
        <item h="1" m="1" x="2"/>
        <item h="1" x="1"/>
        <item t="default"/>
      </items>
    </pivotField>
    <pivotField axis="axisRow" showAll="0">
      <items count="24">
        <item m="1" x="12"/>
        <item m="1" x="21"/>
        <item m="1" x="6"/>
        <item m="1" x="7"/>
        <item m="1" x="15"/>
        <item m="1" x="10"/>
        <item m="1" x="20"/>
        <item m="1" x="3"/>
        <item m="1" x="9"/>
        <item m="1" x="18"/>
        <item m="1" x="4"/>
        <item m="1" x="5"/>
        <item m="1" x="2"/>
        <item m="1" x="11"/>
        <item m="1" x="13"/>
        <item m="1" x="14"/>
        <item m="1" x="8"/>
        <item m="1" x="16"/>
        <item x="0"/>
        <item m="1" x="19"/>
        <item m="1" x="17"/>
        <item m="1" x="22"/>
        <item x="1"/>
        <item t="default"/>
      </items>
    </pivotField>
    <pivotField showAll="0"/>
    <pivotField dataField="1" numFmtId="165" showAll="0"/>
    <pivotField numFmtId="165" showAll="0"/>
    <pivotField axis="axisCol" showAll="0">
      <items count="8">
        <item m="1" x="3"/>
        <item m="1" x="4"/>
        <item m="1" x="5"/>
        <item m="1" x="6"/>
        <item m="1" x="1"/>
        <item m="1" x="2"/>
        <item x="0"/>
        <item t="default"/>
      </items>
    </pivotField>
    <pivotField showAll="0"/>
    <pivotField axis="axisCol" showAll="0">
      <items count="4">
        <item m="1" x="2"/>
        <item m="1" x="1"/>
        <item x="0"/>
        <item t="default"/>
      </items>
    </pivotField>
  </pivotFields>
  <rowFields count="2">
    <field x="1"/>
    <field x="2"/>
  </rowFields>
  <rowItems count="3">
    <i>
      <x/>
    </i>
    <i r="1">
      <x v="18"/>
    </i>
    <i t="grand">
      <x/>
    </i>
  </rowItems>
  <colFields count="2">
    <field x="8"/>
    <field x="6"/>
  </colFields>
  <colItems count="2">
    <i>
      <x v="2"/>
      <x v="6"/>
    </i>
    <i t="default">
      <x v="2"/>
    </i>
  </colItems>
  <dataFields count="1">
    <dataField name="Pemasukan" fld="4" baseField="0" baseItem="0" numFmtId="165"/>
  </dataFields>
  <formats count="13">
    <format dxfId="25">
      <pivotArea type="all" dataOnly="0" outline="0" fieldPosition="0"/>
    </format>
    <format dxfId="24">
      <pivotArea outline="0" collapsedLevelsAreSubtotals="1" fieldPosition="0"/>
    </format>
    <format dxfId="23">
      <pivotArea type="origin" dataOnly="0" labelOnly="1" outline="0" fieldPosition="0"/>
    </format>
    <format dxfId="22">
      <pivotArea field="8" type="button" dataOnly="0" labelOnly="1" outline="0" axis="axisCol" fieldPosition="0"/>
    </format>
    <format dxfId="21">
      <pivotArea field="6" type="button" dataOnly="0" labelOnly="1" outline="0" axis="axisCol" fieldPosition="1"/>
    </format>
    <format dxfId="20">
      <pivotArea type="topRight" dataOnly="0" labelOnly="1" outline="0" fieldPosition="0"/>
    </format>
    <format dxfId="19">
      <pivotArea field="1" type="button" dataOnly="0" labelOnly="1" outline="0" axis="axisRow" fieldPosition="0"/>
    </format>
    <format dxfId="18">
      <pivotArea dataOnly="0" labelOnly="1" fieldPosition="0">
        <references count="1">
          <reference field="1" count="0"/>
        </references>
      </pivotArea>
    </format>
    <format dxfId="17">
      <pivotArea dataOnly="0" labelOnly="1" fieldPosition="0">
        <references count="2">
          <reference field="1" count="0" selected="0"/>
          <reference field="2" count="6">
            <x v="2"/>
            <x v="5"/>
            <x v="7"/>
            <x v="10"/>
            <x v="11"/>
            <x v="18"/>
          </reference>
        </references>
      </pivotArea>
    </format>
    <format dxfId="16">
      <pivotArea dataOnly="0" labelOnly="1" fieldPosition="0">
        <references count="1">
          <reference field="8" count="0"/>
        </references>
      </pivotArea>
    </format>
    <format dxfId="15">
      <pivotArea dataOnly="0" labelOnly="1" fieldPosition="0">
        <references count="1">
          <reference field="8" count="0" defaultSubtotal="1"/>
        </references>
      </pivotArea>
    </format>
    <format dxfId="14">
      <pivotArea dataOnly="0" labelOnly="1" fieldPosition="0">
        <references count="2">
          <reference field="6" count="1">
            <x v="5"/>
          </reference>
          <reference field="8" count="1" selected="0">
            <x v="0"/>
          </reference>
        </references>
      </pivotArea>
    </format>
    <format dxfId="13">
      <pivotArea dataOnly="0" labelOnly="1" fieldPosition="0">
        <references count="2">
          <reference field="6" count="4">
            <x v="0"/>
            <x v="1"/>
            <x v="2"/>
            <x v="3"/>
          </reference>
          <reference field="8" count="1" selected="0">
            <x v="1"/>
          </reference>
        </references>
      </pivotArea>
    </format>
  </formats>
  <pivotTableStyleInfo name="PivotStyleLight2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848938D-6F81-4FD0-B762-D312AF29C179}" name="Table7" displayName="Table7" ref="A1:I3" totalsRowShown="0" headerRowDxfId="12" tableBorderDxfId="11">
  <autoFilter ref="A1:I3" xr:uid="{C848938D-6F81-4FD0-B762-D312AF29C179}"/>
  <tableColumns count="9">
    <tableColumn id="1" xr3:uid="{0A4C86E4-5FF1-4CD8-88C9-FBF71BBB8B02}" name="Tanggal" dataDxfId="10"/>
    <tableColumn id="2" xr3:uid="{F1B8393E-3E05-491A-9035-962351790EC5}" name="Jenis Transaksi" dataDxfId="9"/>
    <tableColumn id="3" xr3:uid="{8EFC559E-3BAB-43E9-B79F-1F73B8608DA1}" name="Kategori" dataDxfId="8"/>
    <tableColumn id="4" xr3:uid="{387F074A-5B4F-4DC2-9E7C-27A4926D470F}" name="Keterangan" dataDxfId="7"/>
    <tableColumn id="5" xr3:uid="{930F5A41-B214-498F-9302-4F668E44CCFA}" name="Nominal" dataDxfId="6"/>
    <tableColumn id="6" xr3:uid="{18D918E3-3E1F-4F81-B10A-3D8DBED02FC4}" name="Saldo" dataDxfId="5">
      <calculatedColumnFormula>IF(Table7[[#This Row],[Jenis Transaksi]]="Pemasukan",F1+Table7[[#This Row],[Nominal]],IF(Table7[[#This Row],[Jenis Transaksi]]="Pengeluaran",F1-Table7[[#This Row],[Nominal]],IF(Table7[[#This Row],[Jenis Transaksi]]="Tabungan",F1-Table7[[#This Row],[Nominal]],"")))</calculatedColumnFormula>
    </tableColumn>
    <tableColumn id="7" xr3:uid="{0A6ABB2B-F62D-4B75-8737-0D65A1944E55}" name="Bulan" dataDxfId="4">
      <calculatedColumnFormula>IF(Table7[[#This Row],[Tanggal]]="","",TEXT(DataTransaksi!A2,"mmmm"))</calculatedColumnFormula>
    </tableColumn>
    <tableColumn id="8" xr3:uid="{547D3673-8F2E-490C-AF7A-DECBAF7077BF}" name="Jenis" dataDxfId="3">
      <calculatedColumnFormula>IFERROR(VLOOKUP(Table7[[#This Row],[Kategori]],Table3[[JENIS]:[KATEGORI]],2,FALSE),
 IFERROR(VLOOKUP(Table7[[#This Row],[Kategori]],Table4[[JENIS]:[KATEGORI]],2,FALSE),
 IFERROR(VLOOKUP(Table7[[#This Row],[Kategori]],Table5[[JENIS]:[KATEGORI]],2,FALSE),"")))</calculatedColumnFormula>
    </tableColumn>
    <tableColumn id="9" xr3:uid="{F1CC3B6C-554D-4F56-AF8A-3DE18D247AB1}" name="Tahun" dataDxfId="2">
      <calculatedColumnFormula>IF(Table7[[#This Row],[Tanggal]]="","",TEXT(DataTransaksi!A2,"yyyy"))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EC52A7A-4EF3-4525-8B09-AB4587B98CAF}" name="Table3" displayName="Table3" ref="A4:C7" totalsRowShown="0">
  <autoFilter ref="A4:C7" xr:uid="{1EC52A7A-4EF3-4525-8B09-AB4587B98CAF}"/>
  <tableColumns count="3">
    <tableColumn id="1" xr3:uid="{2A7574EA-E4E2-4A27-A2A9-998191AC5001}" name="NO"/>
    <tableColumn id="2" xr3:uid="{1DAC77A0-F017-4168-8180-E418DF1B0D9B}" name="JENIS"/>
    <tableColumn id="3" xr3:uid="{A30AE652-40DE-4B07-9D94-A2A0AA4BCE21}" name="KATEGORI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98E2487-5A40-4495-9EE5-A7583404CC1B}" name="Table4" displayName="Table4" ref="E4:G7" totalsRowShown="0">
  <autoFilter ref="E4:G7" xr:uid="{498E2487-5A40-4495-9EE5-A7583404CC1B}"/>
  <sortState xmlns:xlrd2="http://schemas.microsoft.com/office/spreadsheetml/2017/richdata2" ref="E5:G7">
    <sortCondition ref="E4:E7"/>
  </sortState>
  <tableColumns count="3">
    <tableColumn id="1" xr3:uid="{91094A17-4C35-4C62-A541-A829031DC95C}" name="NO"/>
    <tableColumn id="2" xr3:uid="{0A7B5238-39F5-4F2F-AC96-5F4837B71DB6}" name="JENIS"/>
    <tableColumn id="3" xr3:uid="{7D6423F0-B5F7-4B6F-B1A8-95BF7C4D7118}" name="KATEGORI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964B907-DDDA-48CD-A131-8CC4B17B77A1}" name="Table5" displayName="Table5" ref="I4:K7" totalsRowShown="0">
  <autoFilter ref="I4:K7" xr:uid="{9964B907-DDDA-48CD-A131-8CC4B17B77A1}"/>
  <tableColumns count="3">
    <tableColumn id="1" xr3:uid="{163D3F94-204B-4BBD-9D25-123978BF0F57}" name="NO"/>
    <tableColumn id="2" xr3:uid="{10CADAD2-0506-4983-9D0C-1896AFB0DCE2}" name="JENIS"/>
    <tableColumn id="3" xr3:uid="{A2D729F0-85DE-4969-BFA1-42F0A733DD26}" name="KATEGORI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997E49E-3F1D-4DA9-8633-4D2348BDB289}" name="Table1" displayName="Table1" ref="Q8:S10" totalsRowCount="1">
  <autoFilter ref="Q8:S9" xr:uid="{6997E49E-3F1D-4DA9-8633-4D2348BDB289}"/>
  <tableColumns count="3">
    <tableColumn id="1" xr3:uid="{B63A0FD1-5FBF-44FB-AE32-5386DBB9C331}" name="Pemasukan" totalsRowFunction="custom">
      <calculatedColumnFormula>SUMIFS(DataTransaksi!E:E,DataTransaksi!B:B,"Pemasukan",DataTransaksi!G:G,Dashboard!D3,DataTransaksi!I:I,Dashboard!D2)</calculatedColumnFormula>
      <totalsRowFormula array="1">Table1[Pemasukan]+Table1[Pengeluaran]+Table1[Tabungan]</totalsRowFormula>
    </tableColumn>
    <tableColumn id="2" xr3:uid="{EAD4914F-46D7-46D3-AF64-15AF377BAFDD}" name="Pengeluaran">
      <calculatedColumnFormula>SUMIFS(DataTransaksi!E:E,DataTransaksi!B:B,"Pengeluaran",DataTransaksi!G:G,Dashboard!D3,DataTransaksi!I:I,Dashboard!D2)</calculatedColumnFormula>
    </tableColumn>
    <tableColumn id="3" xr3:uid="{EB738836-5E5A-4B01-9CD3-C1BFEBED5D86}" name="Tabungan">
      <calculatedColumnFormula>SUMIFS(DataTransaksi!E:E,DataTransaksi!B:B,"Tabungan",DataTransaksi!G:G,Dashboard!D3,DataTransaksi!I:I,Dashboard!D2)</calculatedColumnFormula>
    </tableColumn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7495C93-7F5D-4E54-B62C-B54A303D289D}" name="Table2" displayName="Table2" ref="Q4:S6" totalsRowCount="1">
  <autoFilter ref="Q4:S5" xr:uid="{97495C93-7F5D-4E54-B62C-B54A303D289D}"/>
  <tableColumns count="3">
    <tableColumn id="1" xr3:uid="{AB37574C-3B80-45E7-A23A-D82276F99A6D}" name="Pemasukan" totalsRowFunction="custom">
      <calculatedColumnFormula>SUMIF(Table7[Jenis Transaksi],"Pemasukan",Table7[Nominal])</calculatedColumnFormula>
      <totalsRowFormula array="1">Table2[Pemasukan]+Table2[Pengeluaran]+Table2[Tabungan]</totalsRowFormula>
    </tableColumn>
    <tableColumn id="2" xr3:uid="{C1E32A9B-E4BA-4FC8-9B04-4F78007A9365}" name="Pengeluaran">
      <calculatedColumnFormula>SUMIF(Table7[Jenis Transaksi],"Pengeluaran",Table7[Nominal])</calculatedColumnFormula>
    </tableColumn>
    <tableColumn id="3" xr3:uid="{98DD0A60-A56C-4F5F-B264-6F57D712722B}" name="Tabungan">
      <calculatedColumnFormula>SUMIF(Table7[Jenis Transaksi],"Tabungan",Table7[Nominal])</calculatedColumnFormula>
    </tableColumn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444F9A2-35A0-4091-8411-4E0D39874635}" name="Table6" displayName="Table6" ref="Q13:R15" totalsRowCount="1" headerRowDxfId="1" tableBorderDxfId="0">
  <autoFilter ref="Q13:R14" xr:uid="{0444F9A2-35A0-4091-8411-4E0D39874635}"/>
  <tableColumns count="2">
    <tableColumn id="1" xr3:uid="{A8D06CF2-4481-4907-BDEF-059318BF7850}" name="Pemasukan" totalsRowFunction="custom">
      <calculatedColumnFormula>SUMIFS(DataTransaksi!E:E,DataTransaksi!B:B,"Pemasukan",DataTransaksi!C:C,"BUNGA")</calculatedColumnFormula>
      <totalsRowFormula array="1">Table6[Pemasukan]-Table6[Pengeluaran]</totalsRowFormula>
    </tableColumn>
    <tableColumn id="2" xr3:uid="{A166AEC6-AA2D-4EC5-9257-EB49C019EA9E}" name="Pengeluaran">
      <calculatedColumnFormula>SUMIFS(DataTransaksi!E:E,DataTransaksi!B:B,"Pengeluaran",DataTransaksi!C:C,"BUNGA")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0CF1A-50AD-4C4B-9A47-BA46FA5C888E}">
  <sheetPr codeName="Sheet1"/>
  <dimension ref="A1:AH34"/>
  <sheetViews>
    <sheetView tabSelected="1" zoomScale="115" zoomScaleNormal="115" workbookViewId="0">
      <selection activeCell="N6" sqref="N6"/>
    </sheetView>
  </sheetViews>
  <sheetFormatPr defaultRowHeight="18" x14ac:dyDescent="0.35"/>
  <cols>
    <col min="1" max="1" width="4.7109375" style="11" customWidth="1"/>
    <col min="2" max="2" width="19.5703125" style="11" bestFit="1" customWidth="1"/>
    <col min="3" max="3" width="1.85546875" style="11" bestFit="1" customWidth="1"/>
    <col min="4" max="4" width="17.5703125" style="11" bestFit="1" customWidth="1"/>
    <col min="5" max="5" width="4.140625" style="11" customWidth="1"/>
    <col min="6" max="6" width="4.7109375" style="11" customWidth="1"/>
    <col min="7" max="7" width="25.7109375" style="11" bestFit="1" customWidth="1"/>
    <col min="8" max="8" width="1.85546875" style="11" bestFit="1" customWidth="1"/>
    <col min="9" max="9" width="12.140625" style="11" customWidth="1"/>
    <col min="10" max="10" width="11.85546875" style="11" customWidth="1"/>
    <col min="11" max="11" width="4.7109375" style="11" customWidth="1"/>
    <col min="12" max="12" width="19.7109375" style="11" bestFit="1" customWidth="1"/>
    <col min="13" max="13" width="1.5703125" style="11" bestFit="1" customWidth="1"/>
    <col min="14" max="14" width="17.42578125" style="11" bestFit="1" customWidth="1"/>
    <col min="15" max="15" width="17.85546875" style="11" bestFit="1" customWidth="1"/>
    <col min="16" max="16" width="4.7109375" style="11" customWidth="1"/>
    <col min="17" max="17" width="14.140625" style="11" bestFit="1" customWidth="1"/>
    <col min="18" max="18" width="15.140625" style="11" bestFit="1" customWidth="1"/>
    <col min="19" max="19" width="14.140625" style="11" bestFit="1" customWidth="1"/>
    <col min="20" max="20" width="15.140625" style="11" bestFit="1" customWidth="1"/>
    <col min="21" max="21" width="11.42578125" style="11" bestFit="1" customWidth="1"/>
    <col min="22" max="22" width="18.7109375" style="11" bestFit="1" customWidth="1"/>
    <col min="23" max="23" width="14.140625" style="11" bestFit="1" customWidth="1"/>
    <col min="24" max="24" width="18.7109375" style="11" bestFit="1" customWidth="1"/>
    <col min="25" max="26" width="17.85546875" style="11" bestFit="1" customWidth="1"/>
    <col min="27" max="27" width="16.7109375" style="11" bestFit="1" customWidth="1"/>
    <col min="28" max="28" width="16.28515625" style="11" bestFit="1" customWidth="1"/>
    <col min="29" max="29" width="15" style="11" bestFit="1" customWidth="1"/>
    <col min="30" max="31" width="16.7109375" style="11" bestFit="1" customWidth="1"/>
    <col min="32" max="32" width="17.85546875" style="11" bestFit="1" customWidth="1"/>
    <col min="33" max="33" width="11.42578125" style="11" bestFit="1" customWidth="1"/>
    <col min="34" max="36" width="12.42578125" style="11" bestFit="1" customWidth="1"/>
    <col min="37" max="37" width="11.42578125" style="11" bestFit="1" customWidth="1"/>
    <col min="38" max="38" width="14.140625" style="11" bestFit="1" customWidth="1"/>
    <col min="39" max="39" width="12.42578125" style="11" bestFit="1" customWidth="1"/>
    <col min="40" max="40" width="14.5703125" style="11" bestFit="1" customWidth="1"/>
    <col min="41" max="41" width="14.140625" style="11" bestFit="1" customWidth="1"/>
    <col min="42" max="42" width="10.42578125" style="11" bestFit="1" customWidth="1"/>
    <col min="43" max="43" width="12.42578125" style="11" bestFit="1" customWidth="1"/>
    <col min="44" max="44" width="11.42578125" style="11" bestFit="1" customWidth="1"/>
    <col min="45" max="45" width="12.140625" style="11" bestFit="1" customWidth="1"/>
    <col min="46" max="46" width="14.5703125" style="11" bestFit="1" customWidth="1"/>
    <col min="47" max="47" width="12.42578125" style="11" bestFit="1" customWidth="1"/>
    <col min="48" max="48" width="14.140625" style="11" bestFit="1" customWidth="1"/>
    <col min="49" max="49" width="12.42578125" style="11" bestFit="1" customWidth="1"/>
    <col min="50" max="50" width="11.42578125" style="11" bestFit="1" customWidth="1"/>
    <col min="51" max="51" width="12.42578125" style="11" bestFit="1" customWidth="1"/>
    <col min="52" max="52" width="14.5703125" style="11" bestFit="1" customWidth="1"/>
    <col min="53" max="54" width="14.140625" style="11" bestFit="1" customWidth="1"/>
    <col min="55" max="55" width="12.42578125" style="11" bestFit="1" customWidth="1"/>
    <col min="56" max="56" width="11.42578125" style="11" bestFit="1" customWidth="1"/>
    <col min="57" max="57" width="14.5703125" style="11" bestFit="1" customWidth="1"/>
    <col min="58" max="58" width="14.140625" style="11" bestFit="1" customWidth="1"/>
    <col min="59" max="60" width="15.140625" style="11" bestFit="1" customWidth="1"/>
    <col min="61" max="16384" width="9.140625" style="11"/>
  </cols>
  <sheetData>
    <row r="1" spans="1:33" ht="18.75" thickBot="1" x14ac:dyDescent="0.4">
      <c r="B1" s="12"/>
      <c r="C1" s="12"/>
      <c r="D1" s="12"/>
      <c r="E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</row>
    <row r="2" spans="1:33" x14ac:dyDescent="0.35">
      <c r="A2" s="13"/>
      <c r="B2" s="28" t="s">
        <v>23</v>
      </c>
      <c r="C2" s="29" t="s">
        <v>13</v>
      </c>
      <c r="D2" s="29">
        <v>2025</v>
      </c>
      <c r="E2" s="30"/>
      <c r="F2" s="14"/>
      <c r="G2" s="65" t="s">
        <v>26</v>
      </c>
      <c r="H2" s="66"/>
      <c r="I2" s="66"/>
      <c r="J2" s="67"/>
      <c r="K2" s="14"/>
      <c r="L2" s="28"/>
      <c r="M2" s="29"/>
      <c r="N2" s="36" t="s">
        <v>30</v>
      </c>
      <c r="O2" s="37" t="s">
        <v>27</v>
      </c>
      <c r="P2" s="14"/>
      <c r="Q2" s="28"/>
      <c r="R2" s="29"/>
      <c r="S2" s="29"/>
      <c r="T2" s="30"/>
      <c r="U2" s="16"/>
      <c r="W2" s="16"/>
    </row>
    <row r="3" spans="1:33" x14ac:dyDescent="0.35">
      <c r="A3" s="13"/>
      <c r="B3" s="31" t="s">
        <v>16</v>
      </c>
      <c r="C3" s="25" t="s">
        <v>13</v>
      </c>
      <c r="D3" s="26" t="s">
        <v>17</v>
      </c>
      <c r="E3" s="32"/>
      <c r="F3" s="14"/>
      <c r="G3" s="68"/>
      <c r="H3" s="69"/>
      <c r="I3" s="69"/>
      <c r="J3" s="70"/>
      <c r="K3" s="14"/>
      <c r="L3" s="31" t="str">
        <f>"Jajan Bulan "&amp;TEXT(D3,"mmmm")</f>
        <v>Jajan Bulan May</v>
      </c>
      <c r="M3" s="25" t="s">
        <v>13</v>
      </c>
      <c r="N3" s="56">
        <v>0</v>
      </c>
      <c r="O3" s="57">
        <f>SUMIFS(DataTransaksi!E:E,DataTransaksi!H:H,"JAJAN",DataTransaksi!I:I,Dashboard!D2,DataTransaksi!G:G,Dashboard!D3)</f>
        <v>0</v>
      </c>
      <c r="P3" s="14"/>
      <c r="Q3" s="31"/>
      <c r="R3" s="25"/>
      <c r="S3" s="25"/>
      <c r="T3" s="32"/>
      <c r="U3" s="16"/>
      <c r="W3" s="16"/>
    </row>
    <row r="4" spans="1:33" x14ac:dyDescent="0.35">
      <c r="A4" s="13"/>
      <c r="B4" s="31"/>
      <c r="C4" s="25"/>
      <c r="D4" s="25"/>
      <c r="E4" s="32"/>
      <c r="F4" s="14"/>
      <c r="G4" s="31"/>
      <c r="H4" s="25"/>
      <c r="I4" s="25"/>
      <c r="J4" s="32"/>
      <c r="K4" s="14"/>
      <c r="L4" s="31" t="str">
        <f>"Ongkos Bulan "&amp;TEXT(D3,"mmmm")</f>
        <v>Ongkos Bulan May</v>
      </c>
      <c r="M4" s="25" t="s">
        <v>13</v>
      </c>
      <c r="N4" s="56">
        <v>0</v>
      </c>
      <c r="O4" s="57">
        <f>SUMIFS(DataTransaksi!E:E,DataTransaksi!H:H,"TRANSPORTASI",DataTransaksi!I:I,Dashboard!D2,DataTransaksi!G:G,Dashboard!D3)</f>
        <v>0</v>
      </c>
      <c r="P4" s="14"/>
      <c r="Q4" s="31"/>
      <c r="R4" s="25"/>
      <c r="S4" s="25"/>
      <c r="T4" s="32"/>
      <c r="U4" s="18"/>
      <c r="V4" s="19"/>
    </row>
    <row r="5" spans="1:33" x14ac:dyDescent="0.35">
      <c r="A5" s="13"/>
      <c r="B5" s="31" t="s">
        <v>8</v>
      </c>
      <c r="C5" s="25" t="s">
        <v>13</v>
      </c>
      <c r="D5" s="27">
        <f ca="1">TODAY()</f>
        <v>45793</v>
      </c>
      <c r="E5" s="32"/>
      <c r="F5" s="14"/>
      <c r="G5" s="73" t="str">
        <f>"Pemasukan Bulan " &amp; TEXT(D3,"mmmm")</f>
        <v>Pemasukan Bulan May</v>
      </c>
      <c r="H5" s="69" t="s">
        <v>13</v>
      </c>
      <c r="I5" s="71">
        <f>SUMIFS(DataTransaksi!E:E,DataTransaksi!B:B,"Pemasukan",DataTransaksi!G:G,Dashboard!D3,DataTransaksi!I:I,Dashboard!D2)</f>
        <v>0</v>
      </c>
      <c r="J5" s="72"/>
      <c r="K5" s="55"/>
      <c r="L5" s="31" t="str">
        <f>"Pulsa Bulan "&amp;TEXT(D3,"mmmm")</f>
        <v>Pulsa Bulan May</v>
      </c>
      <c r="M5" s="25" t="s">
        <v>13</v>
      </c>
      <c r="N5" s="56">
        <v>0</v>
      </c>
      <c r="O5" s="57">
        <f>SUMIFS(DataTransaksi!E:E,DataTransaksi!H:H,"PULSA",DataTransaksi!I:I,Dashboard!D2,DataTransaksi!G:G,Dashboard!D3)</f>
        <v>0</v>
      </c>
      <c r="P5" s="14"/>
      <c r="Q5" s="31"/>
      <c r="R5" s="25"/>
      <c r="S5" s="25"/>
      <c r="T5" s="32"/>
      <c r="U5" s="16"/>
    </row>
    <row r="6" spans="1:33" ht="18.75" thickBot="1" x14ac:dyDescent="0.4">
      <c r="A6" s="13"/>
      <c r="B6" s="31"/>
      <c r="C6" s="25"/>
      <c r="D6" s="25"/>
      <c r="E6" s="32"/>
      <c r="F6" s="14"/>
      <c r="G6" s="73"/>
      <c r="H6" s="69"/>
      <c r="I6" s="71"/>
      <c r="J6" s="72"/>
      <c r="K6" s="15"/>
      <c r="L6" s="33" t="str">
        <f>"Belanja Bulan "&amp;TEXT(D3,"mmmm")</f>
        <v>Belanja Bulan May</v>
      </c>
      <c r="M6" s="34" t="s">
        <v>13</v>
      </c>
      <c r="N6" s="58">
        <v>0</v>
      </c>
      <c r="O6" s="59">
        <f>SUMIFS(DataTransaksi!E:E,DataTransaksi!H:H,"BELANJA",DataTransaksi!I:I,Dashboard!D2,DataTransaksi!G:G,Dashboard!D3)</f>
        <v>0</v>
      </c>
      <c r="P6" s="14"/>
      <c r="Q6" s="31"/>
      <c r="R6" s="25"/>
      <c r="S6" s="25"/>
      <c r="T6" s="32"/>
      <c r="U6" s="16"/>
      <c r="X6" s="12"/>
      <c r="Y6" s="12"/>
      <c r="Z6" s="12"/>
      <c r="AA6" s="12"/>
      <c r="AB6" s="12"/>
      <c r="AC6" s="12"/>
      <c r="AD6" s="12"/>
      <c r="AE6" s="12"/>
      <c r="AF6" s="12"/>
    </row>
    <row r="7" spans="1:33" ht="18.75" thickBot="1" x14ac:dyDescent="0.4">
      <c r="A7" s="13"/>
      <c r="B7" s="31" t="s">
        <v>10</v>
      </c>
      <c r="C7" s="25" t="s">
        <v>13</v>
      </c>
      <c r="D7" s="52"/>
      <c r="E7" s="32"/>
      <c r="F7" s="14"/>
      <c r="G7" s="73" t="str">
        <f>"Pengeluaran Bulan " &amp; TEXT(D3,"mmmm")</f>
        <v>Pengeluaran Bulan May</v>
      </c>
      <c r="H7" s="69" t="s">
        <v>13</v>
      </c>
      <c r="I7" s="71">
        <f>SUMIFS(DataTransaksi!E:E,DataTransaksi!B:B,"Pengeluaran",DataTransaksi!G:G,Dashboard!D3,DataTransaksi!I:I,Dashboard!D2)</f>
        <v>0</v>
      </c>
      <c r="J7" s="72"/>
      <c r="K7" s="15"/>
      <c r="L7" s="17"/>
      <c r="M7" s="17"/>
      <c r="N7" s="17"/>
      <c r="O7" s="17"/>
      <c r="P7" s="13"/>
      <c r="Q7" s="31"/>
      <c r="R7" s="25"/>
      <c r="S7" s="25"/>
      <c r="T7" s="32"/>
      <c r="U7" s="16"/>
      <c r="W7" s="13"/>
      <c r="AG7" s="16"/>
    </row>
    <row r="8" spans="1:33" x14ac:dyDescent="0.35">
      <c r="A8" s="13"/>
      <c r="B8" s="31"/>
      <c r="C8" s="25"/>
      <c r="D8" s="53"/>
      <c r="E8" s="32"/>
      <c r="F8" s="14"/>
      <c r="G8" s="73"/>
      <c r="H8" s="69"/>
      <c r="I8" s="71"/>
      <c r="J8" s="72"/>
      <c r="K8" s="15"/>
      <c r="L8" s="28"/>
      <c r="M8" s="29"/>
      <c r="N8" s="36" t="s">
        <v>30</v>
      </c>
      <c r="O8" s="37" t="s">
        <v>27</v>
      </c>
      <c r="P8" s="14"/>
      <c r="Q8" s="31"/>
      <c r="R8" s="25"/>
      <c r="S8" s="25"/>
      <c r="T8" s="32"/>
      <c r="U8" s="16"/>
      <c r="W8" s="13"/>
      <c r="AG8" s="16"/>
    </row>
    <row r="9" spans="1:33" x14ac:dyDescent="0.35">
      <c r="A9" s="13"/>
      <c r="B9" s="31" t="s">
        <v>11</v>
      </c>
      <c r="C9" s="25" t="s">
        <v>13</v>
      </c>
      <c r="D9" s="52"/>
      <c r="E9" s="32"/>
      <c r="F9" s="14"/>
      <c r="G9" s="31"/>
      <c r="H9" s="25"/>
      <c r="I9" s="39" t="s">
        <v>30</v>
      </c>
      <c r="J9" s="51" t="s">
        <v>27</v>
      </c>
      <c r="K9" s="15"/>
      <c r="L9" s="31" t="str">
        <f>"Jajan Tahun "&amp;TEXT(D2,0)</f>
        <v>Jajan Tahun 2025</v>
      </c>
      <c r="M9" s="25" t="s">
        <v>13</v>
      </c>
      <c r="N9" s="56">
        <f>N3*12</f>
        <v>0</v>
      </c>
      <c r="O9" s="60">
        <f>SUMIFS(DataTransaksi!E:E,DataTransaksi!H:H,"JAJAN",DataTransaksi!I:I,Dashboard!D2)</f>
        <v>0</v>
      </c>
      <c r="P9" s="14"/>
      <c r="Q9" s="31"/>
      <c r="R9" s="25"/>
      <c r="S9" s="25"/>
      <c r="T9" s="32"/>
      <c r="U9" s="16"/>
      <c r="W9" s="13"/>
      <c r="AG9" s="16"/>
    </row>
    <row r="10" spans="1:33" x14ac:dyDescent="0.35">
      <c r="A10" s="13"/>
      <c r="B10" s="31"/>
      <c r="C10" s="25"/>
      <c r="D10" s="53"/>
      <c r="E10" s="32"/>
      <c r="F10" s="14"/>
      <c r="G10" s="38" t="s">
        <v>28</v>
      </c>
      <c r="H10" s="39" t="s">
        <v>13</v>
      </c>
      <c r="I10" s="40">
        <v>0.7</v>
      </c>
      <c r="J10" s="41" t="e" cm="1">
        <f t="array" ref="J10">Table1[Pemasukan]/(Table1[Pemasukan]+Table1[Pengeluaran])</f>
        <v>#DIV/0!</v>
      </c>
      <c r="K10" s="15"/>
      <c r="L10" s="31" t="str">
        <f>"Ongkos Tahun "&amp;TEXT(D2,0)</f>
        <v>Ongkos Tahun 2025</v>
      </c>
      <c r="M10" s="25" t="s">
        <v>13</v>
      </c>
      <c r="N10" s="56">
        <f t="shared" ref="N10:N12" si="0">N4*12</f>
        <v>0</v>
      </c>
      <c r="O10" s="60">
        <f>SUMIFS(DataTransaksi!E:E,DataTransaksi!H:H,"TRANSPORTASI",DataTransaksi!I:I,Dashboard!D2)</f>
        <v>0</v>
      </c>
      <c r="P10" s="14"/>
      <c r="Q10" s="31"/>
      <c r="R10" s="25"/>
      <c r="S10" s="25"/>
      <c r="T10" s="32"/>
      <c r="U10" s="16"/>
      <c r="W10" s="13"/>
      <c r="AG10" s="16"/>
    </row>
    <row r="11" spans="1:33" ht="18.75" thickBot="1" x14ac:dyDescent="0.4">
      <c r="A11" s="13"/>
      <c r="B11" s="31" t="s">
        <v>14</v>
      </c>
      <c r="C11" s="25" t="s">
        <v>13</v>
      </c>
      <c r="D11" s="52"/>
      <c r="E11" s="32"/>
      <c r="F11" s="14"/>
      <c r="G11" s="42" t="s">
        <v>29</v>
      </c>
      <c r="H11" s="43" t="s">
        <v>13</v>
      </c>
      <c r="I11" s="44">
        <v>0.3</v>
      </c>
      <c r="J11" s="45" t="e" cm="1">
        <f t="array" ref="J11">Table1[Pengeluaran]/(Table1[Pemasukan]+Table1[Pengeluaran])</f>
        <v>#DIV/0!</v>
      </c>
      <c r="K11" s="15"/>
      <c r="L11" s="31" t="str">
        <f>"Pulsa Tahun "&amp;TEXT(D2,0)</f>
        <v>Pulsa Tahun 2025</v>
      </c>
      <c r="M11" s="25" t="s">
        <v>13</v>
      </c>
      <c r="N11" s="56">
        <f t="shared" si="0"/>
        <v>0</v>
      </c>
      <c r="O11" s="60">
        <f>SUMIFS(DataTransaksi!E:E,DataTransaksi!H:H,"PULSA",DataTransaksi!I:I,Dashboard!D2)</f>
        <v>0</v>
      </c>
      <c r="P11" s="14"/>
      <c r="Q11" s="31"/>
      <c r="R11" s="25"/>
      <c r="S11" s="25"/>
      <c r="T11" s="32"/>
      <c r="U11" s="16"/>
      <c r="W11" s="13"/>
      <c r="AG11" s="16"/>
    </row>
    <row r="12" spans="1:33" ht="18.75" thickBot="1" x14ac:dyDescent="0.4">
      <c r="A12" s="13"/>
      <c r="B12" s="31"/>
      <c r="C12" s="25"/>
      <c r="D12" s="53"/>
      <c r="E12" s="32"/>
      <c r="F12" s="16"/>
      <c r="G12" s="17"/>
      <c r="H12" s="17"/>
      <c r="I12" s="17"/>
      <c r="J12" s="17"/>
      <c r="K12" s="15"/>
      <c r="L12" s="33" t="str">
        <f>"Belanja Tahun "&amp;TEXT(D2,0)</f>
        <v>Belanja Tahun 2025</v>
      </c>
      <c r="M12" s="34" t="s">
        <v>13</v>
      </c>
      <c r="N12" s="58">
        <f t="shared" si="0"/>
        <v>0</v>
      </c>
      <c r="O12" s="61">
        <f>SUMIFS(DataTransaksi!E:E,DataTransaksi!H:H,"BELANJA",DataTransaksi!I:I,Dashboard!D2)</f>
        <v>0</v>
      </c>
      <c r="P12" s="15"/>
      <c r="Q12" s="31"/>
      <c r="R12" s="25"/>
      <c r="S12" s="25"/>
      <c r="T12" s="32"/>
      <c r="U12" s="16"/>
      <c r="W12" s="13"/>
      <c r="AG12" s="16"/>
    </row>
    <row r="13" spans="1:33" ht="18.75" thickBot="1" x14ac:dyDescent="0.4">
      <c r="A13" s="13"/>
      <c r="B13" s="31" t="s">
        <v>12</v>
      </c>
      <c r="C13" s="25" t="s">
        <v>13</v>
      </c>
      <c r="D13" s="54"/>
      <c r="E13" s="32"/>
      <c r="F13" s="14"/>
      <c r="G13" s="65" t="s">
        <v>31</v>
      </c>
      <c r="H13" s="66"/>
      <c r="I13" s="66"/>
      <c r="J13" s="67"/>
      <c r="K13" s="15"/>
      <c r="L13" s="20"/>
      <c r="M13" s="15"/>
      <c r="N13" s="15"/>
      <c r="O13" s="21"/>
      <c r="P13" s="15"/>
      <c r="Q13" s="31"/>
      <c r="R13" s="25"/>
      <c r="S13" s="25"/>
      <c r="T13" s="32"/>
      <c r="U13" s="16"/>
      <c r="W13" s="13"/>
      <c r="AG13" s="16"/>
    </row>
    <row r="14" spans="1:33" x14ac:dyDescent="0.35">
      <c r="A14" s="13"/>
      <c r="B14" s="31"/>
      <c r="C14" s="25"/>
      <c r="D14" s="25"/>
      <c r="E14" s="32"/>
      <c r="F14" s="14"/>
      <c r="G14" s="68"/>
      <c r="H14" s="69"/>
      <c r="I14" s="69"/>
      <c r="J14" s="70"/>
      <c r="K14" s="15"/>
      <c r="L14" s="28"/>
      <c r="M14" s="29"/>
      <c r="N14" s="29"/>
      <c r="O14" s="30"/>
      <c r="P14" s="15"/>
      <c r="Q14" s="31"/>
      <c r="R14" s="25"/>
      <c r="S14" s="25"/>
      <c r="T14" s="32"/>
      <c r="U14" s="16"/>
      <c r="W14" s="13"/>
      <c r="AG14" s="16"/>
    </row>
    <row r="15" spans="1:33" x14ac:dyDescent="0.35">
      <c r="A15" s="13"/>
      <c r="B15" s="31"/>
      <c r="C15" s="25"/>
      <c r="D15" s="25"/>
      <c r="E15" s="32"/>
      <c r="F15" s="14"/>
      <c r="G15" s="31"/>
      <c r="H15" s="25"/>
      <c r="I15" s="25"/>
      <c r="J15" s="32"/>
      <c r="K15" s="15"/>
      <c r="L15" s="31"/>
      <c r="M15" s="25"/>
      <c r="N15" s="25"/>
      <c r="O15" s="32"/>
      <c r="P15" s="15"/>
      <c r="Q15" s="31"/>
      <c r="R15" s="25"/>
      <c r="S15" s="25"/>
      <c r="T15" s="32"/>
      <c r="U15" s="16"/>
      <c r="W15" s="13"/>
      <c r="AG15" s="16"/>
    </row>
    <row r="16" spans="1:33" ht="18.75" thickBot="1" x14ac:dyDescent="0.4">
      <c r="A16" s="13"/>
      <c r="B16" s="33"/>
      <c r="C16" s="34"/>
      <c r="D16" s="34"/>
      <c r="E16" s="35"/>
      <c r="F16" s="14"/>
      <c r="G16" s="73" t="str">
        <f>"Pemasukan Tahun " &amp; TEXT(D2,0)</f>
        <v>Pemasukan Tahun 2025</v>
      </c>
      <c r="H16" s="69" t="s">
        <v>13</v>
      </c>
      <c r="I16" s="71">
        <f>SUMIFS(DataTransaksi!E:E,DataTransaksi!B:B,"Pemasukan",DataTransaksi!I:I,Dashboard!D2)</f>
        <v>0</v>
      </c>
      <c r="J16" s="72"/>
      <c r="K16" s="15"/>
      <c r="L16" s="31"/>
      <c r="M16" s="25"/>
      <c r="N16" s="25"/>
      <c r="O16" s="32"/>
      <c r="P16" s="15"/>
      <c r="Q16" s="31"/>
      <c r="R16" s="25"/>
      <c r="S16" s="25"/>
      <c r="T16" s="32"/>
      <c r="U16" s="16"/>
      <c r="W16" s="13"/>
      <c r="AG16" s="16"/>
    </row>
    <row r="17" spans="1:34" ht="18.75" thickBot="1" x14ac:dyDescent="0.4">
      <c r="B17" s="17"/>
      <c r="C17" s="17"/>
      <c r="D17" s="17"/>
      <c r="E17" s="17"/>
      <c r="F17" s="13"/>
      <c r="G17" s="73"/>
      <c r="H17" s="69"/>
      <c r="I17" s="71"/>
      <c r="J17" s="72"/>
      <c r="K17" s="15"/>
      <c r="L17" s="31"/>
      <c r="M17" s="25"/>
      <c r="N17" s="25"/>
      <c r="O17" s="32"/>
      <c r="P17" s="15"/>
      <c r="Q17" s="31"/>
      <c r="R17" s="25"/>
      <c r="S17" s="25"/>
      <c r="T17" s="32"/>
      <c r="U17" s="16"/>
      <c r="W17" s="13"/>
      <c r="AG17" s="16"/>
    </row>
    <row r="18" spans="1:34" x14ac:dyDescent="0.35">
      <c r="A18" s="13"/>
      <c r="B18" s="47" t="s">
        <v>33</v>
      </c>
      <c r="C18" s="48" t="s">
        <v>13</v>
      </c>
      <c r="D18" s="74">
        <f>MasterData!Q5-MasterData!R5-MasterData!S5-MasterData!Q15</f>
        <v>0</v>
      </c>
      <c r="E18" s="75"/>
      <c r="F18" s="14"/>
      <c r="G18" s="73" t="str">
        <f>"Pengeluaran Tahun " &amp; TEXT(D2,0)</f>
        <v>Pengeluaran Tahun 2025</v>
      </c>
      <c r="H18" s="69" t="s">
        <v>13</v>
      </c>
      <c r="I18" s="71">
        <f>SUMIFS(DataTransaksi!E:E,DataTransaksi!B:B,"Pengeluaran",DataTransaksi!I:I,Dashboard!D2)</f>
        <v>0</v>
      </c>
      <c r="J18" s="72"/>
      <c r="K18" s="15"/>
      <c r="L18" s="31"/>
      <c r="M18" s="25"/>
      <c r="N18" s="25"/>
      <c r="O18" s="32"/>
      <c r="P18" s="15"/>
      <c r="Q18" s="31"/>
      <c r="R18" s="25"/>
      <c r="S18" s="25"/>
      <c r="T18" s="32"/>
      <c r="U18" s="16"/>
      <c r="W18" s="13"/>
      <c r="AG18" s="16"/>
    </row>
    <row r="19" spans="1:34" x14ac:dyDescent="0.35">
      <c r="A19" s="13"/>
      <c r="B19" s="31" t="s">
        <v>34</v>
      </c>
      <c r="C19" s="49" t="s">
        <v>13</v>
      </c>
      <c r="D19" s="71">
        <f>D18+D21+D20+D22</f>
        <v>0</v>
      </c>
      <c r="E19" s="72"/>
      <c r="F19" s="14"/>
      <c r="G19" s="73"/>
      <c r="H19" s="69"/>
      <c r="I19" s="71"/>
      <c r="J19" s="72"/>
      <c r="K19" s="15"/>
      <c r="L19" s="31"/>
      <c r="M19" s="25"/>
      <c r="N19" s="25"/>
      <c r="O19" s="32"/>
      <c r="P19" s="15"/>
      <c r="Q19" s="31"/>
      <c r="R19" s="25"/>
      <c r="S19" s="25"/>
      <c r="T19" s="32"/>
      <c r="U19" s="16"/>
      <c r="W19" s="13"/>
      <c r="AG19" s="16"/>
    </row>
    <row r="20" spans="1:34" x14ac:dyDescent="0.35">
      <c r="A20" s="13"/>
      <c r="B20" s="31" t="s">
        <v>35</v>
      </c>
      <c r="C20" s="49" t="s">
        <v>13</v>
      </c>
      <c r="D20" s="71">
        <f>MasterData!Q15</f>
        <v>0</v>
      </c>
      <c r="E20" s="72"/>
      <c r="F20" s="14"/>
      <c r="G20" s="31"/>
      <c r="H20" s="25"/>
      <c r="I20" s="39" t="s">
        <v>30</v>
      </c>
      <c r="J20" s="51" t="s">
        <v>27</v>
      </c>
      <c r="K20" s="15"/>
      <c r="L20" s="31"/>
      <c r="M20" s="25"/>
      <c r="N20" s="25"/>
      <c r="O20" s="32"/>
      <c r="P20" s="15"/>
      <c r="Q20" s="31"/>
      <c r="R20" s="25"/>
      <c r="S20" s="25"/>
      <c r="T20" s="32"/>
      <c r="U20" s="16"/>
      <c r="W20" s="13"/>
      <c r="AG20" s="22"/>
    </row>
    <row r="21" spans="1:34" x14ac:dyDescent="0.35">
      <c r="A21" s="13"/>
      <c r="B21" s="38" t="s">
        <v>25</v>
      </c>
      <c r="C21" s="49" t="s">
        <v>13</v>
      </c>
      <c r="D21" s="71">
        <f>SUMIF(DataTransaksi!C:C,"DANA DARURAT",DataTransaksi!E:E)</f>
        <v>0</v>
      </c>
      <c r="E21" s="72"/>
      <c r="F21" s="14"/>
      <c r="G21" s="38" t="s">
        <v>28</v>
      </c>
      <c r="H21" s="39" t="s">
        <v>13</v>
      </c>
      <c r="I21" s="40">
        <v>0.7</v>
      </c>
      <c r="J21" s="41" t="e" cm="1">
        <f t="array" ref="J21">Table2[Pemasukan]/(Table2[Pemasukan]+Table2[Pengeluaran])</f>
        <v>#DIV/0!</v>
      </c>
      <c r="K21" s="15"/>
      <c r="L21" s="31"/>
      <c r="M21" s="25"/>
      <c r="N21" s="25"/>
      <c r="O21" s="32"/>
      <c r="P21" s="15"/>
      <c r="Q21" s="31"/>
      <c r="R21" s="25"/>
      <c r="S21" s="25"/>
      <c r="T21" s="32"/>
      <c r="U21" s="16"/>
      <c r="W21" s="13"/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6"/>
    </row>
    <row r="22" spans="1:34" ht="18.75" thickBot="1" x14ac:dyDescent="0.4">
      <c r="A22" s="13"/>
      <c r="B22" s="42" t="s">
        <v>21</v>
      </c>
      <c r="C22" s="50" t="s">
        <v>13</v>
      </c>
      <c r="D22" s="76">
        <f>SUMIF(DataTransaksi!C:C,"TABUNGAN",DataTransaksi!E:E)</f>
        <v>0</v>
      </c>
      <c r="E22" s="77"/>
      <c r="F22" s="14"/>
      <c r="G22" s="42" t="s">
        <v>29</v>
      </c>
      <c r="H22" s="43" t="s">
        <v>13</v>
      </c>
      <c r="I22" s="44">
        <v>0.3</v>
      </c>
      <c r="J22" s="45" t="e" cm="1">
        <f t="array" ref="J22">Table2[Pengeluaran]/(Table2[Pemasukan]+Table2[Pengeluaran])</f>
        <v>#DIV/0!</v>
      </c>
      <c r="K22" s="15"/>
      <c r="L22" s="33"/>
      <c r="M22" s="34"/>
      <c r="N22" s="34"/>
      <c r="O22" s="35"/>
      <c r="P22" s="15"/>
      <c r="Q22" s="33"/>
      <c r="R22" s="34"/>
      <c r="S22" s="34"/>
      <c r="T22" s="35"/>
      <c r="U22" s="16"/>
      <c r="W22" s="13"/>
      <c r="X22" s="15"/>
      <c r="Y22" s="15"/>
      <c r="Z22" s="15"/>
      <c r="AA22" s="15"/>
      <c r="AB22" s="15"/>
      <c r="AC22" s="15"/>
      <c r="AD22" s="15"/>
      <c r="AE22" s="15"/>
      <c r="AF22" s="15"/>
      <c r="AG22" s="15"/>
      <c r="AH22" s="16"/>
    </row>
    <row r="23" spans="1:34" x14ac:dyDescent="0.35">
      <c r="B23" s="19"/>
      <c r="C23" s="19"/>
      <c r="D23" s="19"/>
      <c r="E23" s="19"/>
      <c r="G23" s="19"/>
      <c r="H23" s="19"/>
      <c r="I23" s="19"/>
      <c r="J23" s="46"/>
      <c r="K23" s="15"/>
      <c r="L23" s="15"/>
      <c r="M23" s="15"/>
      <c r="N23" s="15"/>
      <c r="O23" s="15"/>
      <c r="P23" s="15"/>
      <c r="Q23" s="15"/>
      <c r="R23" s="15"/>
      <c r="S23" s="15"/>
      <c r="T23" s="15"/>
      <c r="W23" s="13"/>
      <c r="X23" s="15"/>
      <c r="Y23" s="15"/>
      <c r="Z23" s="15"/>
      <c r="AA23" s="15"/>
      <c r="AB23" s="15"/>
      <c r="AC23" s="15"/>
      <c r="AD23" s="15"/>
      <c r="AE23" s="15"/>
      <c r="AF23" s="15"/>
      <c r="AG23" s="15"/>
      <c r="AH23" s="16"/>
    </row>
    <row r="24" spans="1:34" x14ac:dyDescent="0.35">
      <c r="J24" s="23"/>
      <c r="K24" s="15"/>
      <c r="L24" s="15"/>
      <c r="M24" s="15"/>
      <c r="N24" s="15"/>
      <c r="O24" s="15"/>
      <c r="P24" s="15"/>
      <c r="Q24" s="15"/>
      <c r="R24" s="15"/>
      <c r="S24" s="15"/>
      <c r="T24" s="15"/>
      <c r="W24" s="13"/>
      <c r="AF24" s="15"/>
      <c r="AG24" s="15"/>
      <c r="AH24" s="16"/>
    </row>
    <row r="25" spans="1:34" x14ac:dyDescent="0.35">
      <c r="K25" s="23"/>
      <c r="L25" s="23"/>
      <c r="M25" s="23"/>
      <c r="N25" s="23"/>
      <c r="O25" s="23"/>
      <c r="P25" s="23"/>
      <c r="Q25" s="23"/>
      <c r="R25" s="23"/>
      <c r="S25" s="23"/>
      <c r="T25" s="23"/>
      <c r="W25" s="13"/>
      <c r="AF25" s="15"/>
      <c r="AG25" s="15"/>
      <c r="AH25" s="16"/>
    </row>
    <row r="26" spans="1:34" x14ac:dyDescent="0.35">
      <c r="K26" s="23"/>
      <c r="L26" s="23"/>
      <c r="M26" s="23"/>
      <c r="N26" s="23"/>
      <c r="O26" s="23"/>
      <c r="P26" s="23"/>
      <c r="Q26" s="23"/>
      <c r="R26" s="23"/>
      <c r="S26" s="23"/>
      <c r="T26" s="23"/>
      <c r="W26" s="13"/>
      <c r="AF26" s="15"/>
      <c r="AG26" s="15"/>
      <c r="AH26" s="16"/>
    </row>
    <row r="27" spans="1:34" x14ac:dyDescent="0.35">
      <c r="K27" s="23"/>
      <c r="L27" s="23"/>
      <c r="M27" s="23"/>
      <c r="N27" s="23"/>
      <c r="O27" s="23"/>
      <c r="P27" s="23"/>
      <c r="Q27" s="23"/>
      <c r="R27" s="23"/>
      <c r="S27" s="23"/>
      <c r="T27" s="23"/>
      <c r="W27" s="13"/>
      <c r="AF27" s="15"/>
      <c r="AG27" s="15"/>
      <c r="AH27" s="16"/>
    </row>
    <row r="28" spans="1:34" x14ac:dyDescent="0.35">
      <c r="K28" s="23"/>
      <c r="L28" s="23"/>
      <c r="M28" s="23"/>
      <c r="N28" s="23"/>
      <c r="O28" s="23"/>
      <c r="P28" s="23"/>
      <c r="Q28" s="23"/>
      <c r="R28" s="23"/>
      <c r="S28" s="23"/>
      <c r="T28" s="23"/>
      <c r="W28" s="13"/>
      <c r="AF28" s="15"/>
      <c r="AG28" s="15"/>
      <c r="AH28" s="16"/>
    </row>
    <row r="29" spans="1:34" x14ac:dyDescent="0.35">
      <c r="K29" s="23"/>
      <c r="L29" s="23"/>
      <c r="M29" s="23"/>
      <c r="N29" s="23"/>
      <c r="O29" s="23"/>
      <c r="P29" s="23"/>
      <c r="Q29" s="23"/>
      <c r="R29" s="23"/>
      <c r="S29" s="23"/>
      <c r="T29" s="23"/>
      <c r="W29" s="13"/>
      <c r="AF29" s="15"/>
      <c r="AG29" s="15"/>
      <c r="AH29" s="16"/>
    </row>
    <row r="30" spans="1:34" x14ac:dyDescent="0.35">
      <c r="K30" s="23"/>
      <c r="L30" s="23"/>
      <c r="M30" s="23"/>
      <c r="N30" s="23"/>
      <c r="O30" s="23"/>
      <c r="P30" s="23"/>
      <c r="Q30" s="23"/>
      <c r="R30" s="23"/>
      <c r="S30" s="23"/>
      <c r="T30" s="23"/>
      <c r="W30" s="13"/>
      <c r="AF30" s="15"/>
      <c r="AG30" s="15"/>
      <c r="AH30" s="16"/>
    </row>
    <row r="31" spans="1:34" x14ac:dyDescent="0.35">
      <c r="W31" s="13"/>
      <c r="AF31" s="15"/>
      <c r="AG31" s="15"/>
      <c r="AH31" s="16"/>
    </row>
    <row r="32" spans="1:34" x14ac:dyDescent="0.35">
      <c r="W32" s="13"/>
      <c r="AF32" s="15"/>
      <c r="AG32" s="15"/>
      <c r="AH32" s="16"/>
    </row>
    <row r="33" spans="23:33" x14ac:dyDescent="0.35">
      <c r="W33" s="13"/>
      <c r="AF33" s="18"/>
      <c r="AG33" s="19"/>
    </row>
    <row r="34" spans="23:33" x14ac:dyDescent="0.35">
      <c r="X34" s="19"/>
      <c r="Y34" s="19"/>
      <c r="Z34" s="19"/>
      <c r="AA34" s="19"/>
      <c r="AB34" s="19"/>
      <c r="AC34" s="19"/>
      <c r="AD34" s="19"/>
      <c r="AE34" s="19"/>
    </row>
  </sheetData>
  <mergeCells count="19">
    <mergeCell ref="D21:E21"/>
    <mergeCell ref="D22:E22"/>
    <mergeCell ref="H5:H6"/>
    <mergeCell ref="G7:G8"/>
    <mergeCell ref="H7:H8"/>
    <mergeCell ref="D20:E20"/>
    <mergeCell ref="G2:J3"/>
    <mergeCell ref="I5:J6"/>
    <mergeCell ref="I7:J8"/>
    <mergeCell ref="G5:G6"/>
    <mergeCell ref="D19:E19"/>
    <mergeCell ref="G13:J14"/>
    <mergeCell ref="G16:G17"/>
    <mergeCell ref="H16:H17"/>
    <mergeCell ref="I16:J17"/>
    <mergeCell ref="G18:G19"/>
    <mergeCell ref="H18:H19"/>
    <mergeCell ref="I18:J19"/>
    <mergeCell ref="D18:E18"/>
  </mergeCells>
  <conditionalFormatting sqref="O13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{E78C01D8-3762-47B6-91A8-68C24C2C7D53}</x14:id>
        </ext>
      </extLst>
    </cfRule>
  </conditionalFormatting>
  <conditionalFormatting sqref="I21:I22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{8443AB23-C195-4423-A8DD-D83C3EFB25BD}</x14:id>
        </ext>
      </extLst>
    </cfRule>
  </conditionalFormatting>
  <conditionalFormatting sqref="J21:J22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{1F0FFA0C-9302-41EE-B788-9D32CC708D12}</x14:id>
        </ext>
      </extLst>
    </cfRule>
  </conditionalFormatting>
  <conditionalFormatting sqref="I10:I11"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{008A9C21-C99D-40A0-AA8F-B21294AD39E5}</x14:id>
        </ext>
      </extLst>
    </cfRule>
  </conditionalFormatting>
  <conditionalFormatting sqref="J10:J11">
    <cfRule type="dataBar" priority="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{50238C85-0886-4AE4-A000-77F9034F7558}</x14:id>
        </ext>
      </extLst>
    </cfRule>
  </conditionalFormatting>
  <dataValidations count="5">
    <dataValidation type="list" allowBlank="1" showInputMessage="1" showErrorMessage="1" sqref="D7" xr:uid="{AB8D17B7-0024-4653-B789-C7D565578F02}">
      <formula1>"Pemasukan,Pengeluaran,Tabungan"</formula1>
    </dataValidation>
    <dataValidation type="list" allowBlank="1" showInputMessage="1" showErrorMessage="1" sqref="D9" xr:uid="{40760B77-B19D-4055-A354-B81C4B0C8204}">
      <formula1>IF(D7="Pemasukan",PEMASUKAN,IF(D7="Pengeluaran",PENGELUARAN,IF(D7="Tabungan",TABUNGAN,"")))</formula1>
    </dataValidation>
    <dataValidation operator="greaterThan" allowBlank="1" showInputMessage="1" showErrorMessage="1" sqref="D13" xr:uid="{E8E8BCF9-D417-46AA-9317-E333882979BF}"/>
    <dataValidation type="list" allowBlank="1" showInputMessage="1" showErrorMessage="1" sqref="D3" xr:uid="{A6B4E336-F53E-4B29-ACAF-CB410E0EBF41}">
      <formula1>"January,February,March,April,May,June,July,August,September,October,November,December"</formula1>
    </dataValidation>
    <dataValidation type="list" allowBlank="1" showInputMessage="1" showErrorMessage="1" sqref="D2" xr:uid="{6A3C3E3F-2D1C-44C5-8935-42AD5D90659D}">
      <formula1>"2024,2025,2026,2027,2028,2029,2030"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impanData">
                <anchor moveWithCells="1">
                  <from>
                    <xdr:col>1</xdr:col>
                    <xdr:colOff>371475</xdr:colOff>
                    <xdr:row>13</xdr:row>
                    <xdr:rowOff>95250</xdr:rowOff>
                  </from>
                  <to>
                    <xdr:col>3</xdr:col>
                    <xdr:colOff>1019175</xdr:colOff>
                    <xdr:row>15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78C01D8-3762-47B6-91A8-68C24C2C7D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O13</xm:sqref>
        </x14:conditionalFormatting>
        <x14:conditionalFormatting xmlns:xm="http://schemas.microsoft.com/office/excel/2006/main">
          <x14:cfRule type="dataBar" id="{8443AB23-C195-4423-A8DD-D83C3EFB25B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I21:I22</xm:sqref>
        </x14:conditionalFormatting>
        <x14:conditionalFormatting xmlns:xm="http://schemas.microsoft.com/office/excel/2006/main">
          <x14:cfRule type="dataBar" id="{1F0FFA0C-9302-41EE-B788-9D32CC708D1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J21:J22</xm:sqref>
        </x14:conditionalFormatting>
        <x14:conditionalFormatting xmlns:xm="http://schemas.microsoft.com/office/excel/2006/main">
          <x14:cfRule type="dataBar" id="{008A9C21-C99D-40A0-AA8F-B21294AD39E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I10:I11</xm:sqref>
        </x14:conditionalFormatting>
        <x14:conditionalFormatting xmlns:xm="http://schemas.microsoft.com/office/excel/2006/main">
          <x14:cfRule type="dataBar" id="{50238C85-0886-4AE4-A000-77F9034F755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J10:J11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893529-C8F1-4D18-BFF0-E266271B8AA8}">
  <dimension ref="A1:A4"/>
  <sheetViews>
    <sheetView workbookViewId="0">
      <selection activeCell="C3" sqref="C3"/>
    </sheetView>
  </sheetViews>
  <sheetFormatPr defaultRowHeight="15" x14ac:dyDescent="0.25"/>
  <cols>
    <col min="1" max="1" width="12.140625" bestFit="1" customWidth="1"/>
    <col min="2" max="3" width="11.42578125" bestFit="1" customWidth="1"/>
    <col min="4" max="5" width="14.140625" bestFit="1" customWidth="1"/>
    <col min="6" max="6" width="12.42578125" bestFit="1" customWidth="1"/>
    <col min="7" max="8" width="14.140625" bestFit="1" customWidth="1"/>
    <col min="9" max="9" width="15.140625" bestFit="1" customWidth="1"/>
    <col min="10" max="10" width="14.140625" bestFit="1" customWidth="1"/>
    <col min="11" max="11" width="15.140625" bestFit="1" customWidth="1"/>
  </cols>
  <sheetData>
    <row r="1" spans="1:1" x14ac:dyDescent="0.25">
      <c r="A1" s="62" t="s">
        <v>20</v>
      </c>
    </row>
    <row r="4" spans="1:1" x14ac:dyDescent="0.25">
      <c r="A4" s="63" t="s">
        <v>22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C6BB9C-AA36-43D0-9BDD-C28451F771ED}">
  <dimension ref="A1:C6"/>
  <sheetViews>
    <sheetView workbookViewId="0">
      <selection activeCell="B10" sqref="B10"/>
    </sheetView>
  </sheetViews>
  <sheetFormatPr defaultRowHeight="15" x14ac:dyDescent="0.25"/>
  <cols>
    <col min="1" max="1" width="14" bestFit="1" customWidth="1"/>
    <col min="2" max="2" width="14.140625" bestFit="1" customWidth="1"/>
    <col min="3" max="3" width="5.85546875" bestFit="1" customWidth="1"/>
    <col min="4" max="5" width="14.140625" bestFit="1" customWidth="1"/>
    <col min="6" max="6" width="10.42578125" bestFit="1" customWidth="1"/>
    <col min="7" max="7" width="12.42578125" bestFit="1" customWidth="1"/>
    <col min="8" max="8" width="14.140625" bestFit="1" customWidth="1"/>
    <col min="9" max="9" width="12.42578125" bestFit="1" customWidth="1"/>
    <col min="10" max="10" width="14.140625" bestFit="1" customWidth="1"/>
  </cols>
  <sheetData>
    <row r="1" spans="1:3" x14ac:dyDescent="0.25">
      <c r="A1" s="62" t="s">
        <v>19</v>
      </c>
    </row>
    <row r="2" spans="1:3" x14ac:dyDescent="0.25">
      <c r="C2" t="s">
        <v>36</v>
      </c>
    </row>
    <row r="4" spans="1:3" x14ac:dyDescent="0.25">
      <c r="A4" s="63" t="s">
        <v>19</v>
      </c>
      <c r="B4" s="7"/>
      <c r="C4" s="7"/>
    </row>
    <row r="5" spans="1:3" x14ac:dyDescent="0.25">
      <c r="A5" s="64" t="s">
        <v>18</v>
      </c>
      <c r="B5" s="7"/>
      <c r="C5" s="7"/>
    </row>
    <row r="6" spans="1:3" x14ac:dyDescent="0.25">
      <c r="A6" s="63" t="s">
        <v>22</v>
      </c>
      <c r="B6" s="7"/>
      <c r="C6" s="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FD07A-80C9-4132-B0A6-BC7CD6812C58}">
  <sheetPr codeName="Sheet3"/>
  <dimension ref="A1:I3"/>
  <sheetViews>
    <sheetView workbookViewId="0">
      <pane ySplit="1" topLeftCell="A2" activePane="bottomLeft" state="frozen"/>
      <selection pane="bottomLeft" activeCell="E2" sqref="E2"/>
    </sheetView>
  </sheetViews>
  <sheetFormatPr defaultRowHeight="15" x14ac:dyDescent="0.25"/>
  <cols>
    <col min="1" max="1" width="10.7109375" style="1" bestFit="1" customWidth="1"/>
    <col min="2" max="2" width="16.140625" customWidth="1"/>
    <col min="3" max="3" width="19.85546875" bestFit="1" customWidth="1"/>
    <col min="4" max="4" width="20.85546875" bestFit="1" customWidth="1"/>
    <col min="5" max="6" width="15.140625" bestFit="1" customWidth="1"/>
    <col min="7" max="7" width="10.140625" bestFit="1" customWidth="1"/>
    <col min="8" max="8" width="14.5703125" bestFit="1" customWidth="1"/>
    <col min="9" max="9" width="8.7109375" bestFit="1" customWidth="1"/>
  </cols>
  <sheetData>
    <row r="1" spans="1:9" x14ac:dyDescent="0.25">
      <c r="A1" s="6" t="s">
        <v>8</v>
      </c>
      <c r="B1" s="2" t="s">
        <v>10</v>
      </c>
      <c r="C1" s="2" t="s">
        <v>11</v>
      </c>
      <c r="D1" s="2" t="s">
        <v>14</v>
      </c>
      <c r="E1" s="2" t="s">
        <v>12</v>
      </c>
      <c r="F1" s="2" t="s">
        <v>15</v>
      </c>
      <c r="G1" s="2" t="s">
        <v>16</v>
      </c>
      <c r="H1" s="3" t="s">
        <v>9</v>
      </c>
      <c r="I1" s="2" t="s">
        <v>23</v>
      </c>
    </row>
    <row r="2" spans="1:9" x14ac:dyDescent="0.25">
      <c r="A2" s="9"/>
      <c r="B2" s="4" t="s">
        <v>19</v>
      </c>
      <c r="C2" s="4" t="s">
        <v>18</v>
      </c>
      <c r="D2" s="4"/>
      <c r="E2" s="8"/>
      <c r="F2" s="7">
        <f>Table7[[#This Row],[Nominal]]</f>
        <v>0</v>
      </c>
      <c r="G2" t="str">
        <f>IF(Table7[[#This Row],[Tanggal]]="","",TEXT(DataTransaksi!A2,"mmmm"))</f>
        <v/>
      </c>
      <c r="H2" t="str">
        <f>IFERROR(VLOOKUP(Table7[[#This Row],[Kategori]],Table3[[JENIS]:[KATEGORI]],2,FALSE),
 IFERROR(VLOOKUP(Table7[[#This Row],[Kategori]],Table4[[JENIS]:[KATEGORI]],2,FALSE),
 IFERROR(VLOOKUP(Table7[[#This Row],[Kategori]],Table5[[JENIS]:[KATEGORI]],2,FALSE),"")))</f>
        <v>TIDAK TETAP</v>
      </c>
      <c r="I2" t="str">
        <f>IF(Table7[[#This Row],[Tanggal]]="","",TEXT(DataTransaksi!A2,"yyyy"))</f>
        <v/>
      </c>
    </row>
    <row r="3" spans="1:9" x14ac:dyDescent="0.25">
      <c r="A3" s="9"/>
      <c r="B3" s="4"/>
      <c r="C3" s="4"/>
      <c r="D3" s="4"/>
      <c r="E3" s="8"/>
      <c r="F3" s="7" t="str">
        <f>IF(Table7[[#This Row],[Jenis Transaksi]]="Pemasukan",F2+Table7[[#This Row],[Nominal]],IF(Table7[[#This Row],[Jenis Transaksi]]="Pengeluaran",F2-Table7[[#This Row],[Nominal]],IF(Table7[[#This Row],[Jenis Transaksi]]="Tabungan",F2-Table7[[#This Row],[Nominal]],"")))</f>
        <v/>
      </c>
      <c r="G3" t="str">
        <f>IF(Table7[[#This Row],[Tanggal]]="","",TEXT(DataTransaksi!A3,"mmmm"))</f>
        <v/>
      </c>
      <c r="H3" t="str">
        <f>IFERROR(VLOOKUP(Table7[[#This Row],[Kategori]],Table3[[JENIS]:[KATEGORI]],2,FALSE),
 IFERROR(VLOOKUP(Table7[[#This Row],[Kategori]],Table4[[JENIS]:[KATEGORI]],2,FALSE),
 IFERROR(VLOOKUP(Table7[[#This Row],[Kategori]],Table5[[JENIS]:[KATEGORI]],2,FALSE),"")))</f>
        <v/>
      </c>
      <c r="I3" t="str">
        <f>IF(Table7[[#This Row],[Tanggal]]="","",TEXT(DataTransaksi!A3,"yyyy"))</f>
        <v/>
      </c>
    </row>
  </sheetData>
  <phoneticPr fontId="2" type="noConversion"/>
  <pageMargins left="0.7" right="0.7" top="0.75" bottom="0.75" header="0.3" footer="0.3"/>
  <ignoredErrors>
    <ignoredError sqref="F2" calculatedColumn="1"/>
  </ignoredErrors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18F3CB-7BCB-49CC-8C8E-5F0407F944D9}">
  <sheetPr codeName="Sheet2"/>
  <dimension ref="A3:W15"/>
  <sheetViews>
    <sheetView workbookViewId="0">
      <selection activeCell="J12" sqref="J12"/>
    </sheetView>
  </sheetViews>
  <sheetFormatPr defaultRowHeight="15" x14ac:dyDescent="0.25"/>
  <cols>
    <col min="1" max="1" width="6.140625" bestFit="1" customWidth="1"/>
    <col min="2" max="2" width="16.85546875" bestFit="1" customWidth="1"/>
    <col min="3" max="3" width="12.140625" bestFit="1" customWidth="1"/>
    <col min="5" max="5" width="6.140625" bestFit="1" customWidth="1"/>
    <col min="6" max="6" width="19.85546875" bestFit="1" customWidth="1"/>
    <col min="7" max="7" width="14.5703125" bestFit="1" customWidth="1"/>
    <col min="9" max="9" width="6.140625" bestFit="1" customWidth="1"/>
    <col min="10" max="10" width="15.28515625" bestFit="1" customWidth="1"/>
    <col min="11" max="11" width="12.28515625" bestFit="1" customWidth="1"/>
    <col min="17" max="17" width="13.28515625" customWidth="1"/>
    <col min="18" max="18" width="14.28515625" customWidth="1"/>
    <col min="19" max="19" width="11.7109375" customWidth="1"/>
    <col min="22" max="22" width="14.140625" bestFit="1" customWidth="1"/>
    <col min="23" max="23" width="15.28515625" bestFit="1" customWidth="1"/>
    <col min="25" max="25" width="15.28515625" bestFit="1" customWidth="1"/>
    <col min="26" max="26" width="16.28515625" bestFit="1" customWidth="1"/>
    <col min="27" max="28" width="15.140625" bestFit="1" customWidth="1"/>
    <col min="30" max="30" width="14.140625" bestFit="1" customWidth="1"/>
    <col min="31" max="31" width="15.28515625" bestFit="1" customWidth="1"/>
    <col min="33" max="33" width="15.28515625" bestFit="1" customWidth="1"/>
    <col min="34" max="34" width="16.28515625" bestFit="1" customWidth="1"/>
    <col min="35" max="35" width="14.140625" bestFit="1" customWidth="1"/>
    <col min="36" max="36" width="11.42578125" bestFit="1" customWidth="1"/>
    <col min="37" max="37" width="16.42578125" bestFit="1" customWidth="1"/>
    <col min="38" max="38" width="16.28515625" bestFit="1" customWidth="1"/>
    <col min="39" max="39" width="15.140625" bestFit="1" customWidth="1"/>
    <col min="40" max="41" width="14.140625" bestFit="1" customWidth="1"/>
    <col min="42" max="42" width="10.42578125" bestFit="1" customWidth="1"/>
    <col min="43" max="43" width="12.42578125" bestFit="1" customWidth="1"/>
    <col min="44" max="44" width="14.140625" bestFit="1" customWidth="1"/>
    <col min="45" max="46" width="15.140625" bestFit="1" customWidth="1"/>
    <col min="47" max="47" width="14.140625" bestFit="1" customWidth="1"/>
    <col min="48" max="50" width="15.140625" bestFit="1" customWidth="1"/>
    <col min="51" max="51" width="9.85546875" bestFit="1" customWidth="1"/>
    <col min="52" max="52" width="9.5703125" bestFit="1" customWidth="1"/>
    <col min="53" max="55" width="10.42578125" bestFit="1" customWidth="1"/>
    <col min="56" max="68" width="11.42578125" bestFit="1" customWidth="1"/>
    <col min="69" max="69" width="14.140625" bestFit="1" customWidth="1"/>
    <col min="70" max="70" width="12.5703125" bestFit="1" customWidth="1"/>
    <col min="71" max="71" width="10.7109375" bestFit="1" customWidth="1"/>
    <col min="72" max="73" width="10.42578125" bestFit="1" customWidth="1"/>
    <col min="74" max="85" width="11.42578125" bestFit="1" customWidth="1"/>
    <col min="86" max="88" width="12.42578125" bestFit="1" customWidth="1"/>
    <col min="89" max="89" width="13.85546875" bestFit="1" customWidth="1"/>
    <col min="90" max="90" width="10.42578125" bestFit="1" customWidth="1"/>
    <col min="91" max="93" width="11.42578125" bestFit="1" customWidth="1"/>
    <col min="94" max="94" width="12.42578125" bestFit="1" customWidth="1"/>
    <col min="95" max="103" width="11.42578125" bestFit="1" customWidth="1"/>
    <col min="104" max="106" width="12.42578125" bestFit="1" customWidth="1"/>
    <col min="107" max="107" width="10.140625" bestFit="1" customWidth="1"/>
    <col min="108" max="109" width="10.42578125" bestFit="1" customWidth="1"/>
    <col min="110" max="121" width="11.42578125" bestFit="1" customWidth="1"/>
    <col min="122" max="123" width="12.42578125" bestFit="1" customWidth="1"/>
    <col min="124" max="124" width="9.7109375" bestFit="1" customWidth="1"/>
    <col min="125" max="125" width="9.85546875" bestFit="1" customWidth="1"/>
    <col min="126" max="126" width="11.28515625" bestFit="1" customWidth="1"/>
  </cols>
  <sheetData>
    <row r="3" spans="1:23" x14ac:dyDescent="0.25">
      <c r="A3" s="78" t="s">
        <v>0</v>
      </c>
      <c r="B3" s="78"/>
      <c r="C3" s="78"/>
      <c r="E3" s="78" t="s">
        <v>5</v>
      </c>
      <c r="F3" s="78"/>
      <c r="G3" s="78"/>
      <c r="I3" s="78" t="s">
        <v>7</v>
      </c>
      <c r="J3" s="78"/>
      <c r="K3" s="78"/>
      <c r="Q3" s="78" t="s">
        <v>32</v>
      </c>
      <c r="R3" s="78"/>
      <c r="S3" s="78"/>
    </row>
    <row r="4" spans="1:23" x14ac:dyDescent="0.25">
      <c r="A4" t="s">
        <v>4</v>
      </c>
      <c r="B4" t="s">
        <v>2</v>
      </c>
      <c r="C4" t="s">
        <v>1</v>
      </c>
      <c r="E4" t="s">
        <v>4</v>
      </c>
      <c r="F4" t="s">
        <v>2</v>
      </c>
      <c r="G4" t="s">
        <v>1</v>
      </c>
      <c r="I4" t="s">
        <v>4</v>
      </c>
      <c r="J4" t="s">
        <v>2</v>
      </c>
      <c r="K4" t="s">
        <v>1</v>
      </c>
      <c r="Q4" t="s">
        <v>19</v>
      </c>
      <c r="R4" t="s">
        <v>20</v>
      </c>
      <c r="S4" t="s">
        <v>21</v>
      </c>
      <c r="V4" s="10"/>
      <c r="W4" s="10"/>
    </row>
    <row r="5" spans="1:23" x14ac:dyDescent="0.25">
      <c r="A5">
        <v>1</v>
      </c>
      <c r="B5" t="s">
        <v>18</v>
      </c>
      <c r="C5" t="s">
        <v>3</v>
      </c>
      <c r="E5">
        <v>1</v>
      </c>
      <c r="F5" s="4"/>
      <c r="G5" s="5"/>
      <c r="I5">
        <v>1</v>
      </c>
      <c r="Q5">
        <f>SUMIF(Table7[Jenis Transaksi],"Pemasukan",Table7[Nominal])</f>
        <v>0</v>
      </c>
      <c r="R5">
        <f>SUMIF(Table7[Jenis Transaksi],"Pengeluaran",Table7[Nominal])</f>
        <v>0</v>
      </c>
      <c r="S5">
        <f>SUMIF(Table7[Jenis Transaksi],"Tabungan",Table7[Nominal])</f>
        <v>0</v>
      </c>
    </row>
    <row r="6" spans="1:23" x14ac:dyDescent="0.25">
      <c r="A6">
        <v>2</v>
      </c>
      <c r="E6">
        <v>2</v>
      </c>
      <c r="F6" s="4"/>
      <c r="G6" s="5"/>
      <c r="I6">
        <v>2</v>
      </c>
      <c r="Q6" cm="1">
        <f t="array" ref="Q6">Table2[Pemasukan]+Table2[Pengeluaran]+Table2[Tabungan]</f>
        <v>0</v>
      </c>
    </row>
    <row r="7" spans="1:23" x14ac:dyDescent="0.25">
      <c r="A7">
        <v>3</v>
      </c>
      <c r="E7">
        <v>3</v>
      </c>
      <c r="I7">
        <v>3</v>
      </c>
      <c r="Q7" s="78" t="s">
        <v>24</v>
      </c>
      <c r="R7" s="78"/>
      <c r="S7" s="78"/>
    </row>
    <row r="8" spans="1:23" x14ac:dyDescent="0.25">
      <c r="Q8" t="s">
        <v>19</v>
      </c>
      <c r="R8" t="s">
        <v>20</v>
      </c>
      <c r="S8" t="s">
        <v>21</v>
      </c>
    </row>
    <row r="9" spans="1:23" x14ac:dyDescent="0.25">
      <c r="Q9">
        <f>SUMIFS(DataTransaksi!E:E,DataTransaksi!B:B,"Pemasukan",DataTransaksi!G:G,Dashboard!D3,DataTransaksi!I:I,Dashboard!D2)</f>
        <v>0</v>
      </c>
      <c r="R9">
        <f>SUMIFS(DataTransaksi!E:E,DataTransaksi!B:B,"Pengeluaran",DataTransaksi!G:G,Dashboard!D3,DataTransaksi!I:I,Dashboard!D2)</f>
        <v>0</v>
      </c>
      <c r="S9">
        <f>SUMIFS(DataTransaksi!E:E,DataTransaksi!B:B,"Tabungan",DataTransaksi!G:G,Dashboard!D3,DataTransaksi!I:I,Dashboard!D2)</f>
        <v>0</v>
      </c>
    </row>
    <row r="10" spans="1:23" x14ac:dyDescent="0.25">
      <c r="Q10" cm="1">
        <f t="array" ref="Q10">Table1[Pemasukan]+Table1[Pengeluaran]+Table1[Tabungan]</f>
        <v>0</v>
      </c>
    </row>
    <row r="12" spans="1:23" x14ac:dyDescent="0.25">
      <c r="Q12" s="79" t="s">
        <v>6</v>
      </c>
      <c r="R12" s="79"/>
    </row>
    <row r="13" spans="1:23" x14ac:dyDescent="0.25">
      <c r="Q13" s="24" t="s">
        <v>19</v>
      </c>
      <c r="R13" s="2" t="s">
        <v>20</v>
      </c>
    </row>
    <row r="14" spans="1:23" x14ac:dyDescent="0.25">
      <c r="Q14">
        <f>SUMIFS(DataTransaksi!E:E,DataTransaksi!B:B,"Pemasukan",DataTransaksi!C:C,"BUNGA")</f>
        <v>0</v>
      </c>
      <c r="R14">
        <f>SUMIFS(DataTransaksi!E:E,DataTransaksi!B:B,"Pengeluaran",DataTransaksi!C:C,"BUNGA")</f>
        <v>0</v>
      </c>
    </row>
    <row r="15" spans="1:23" x14ac:dyDescent="0.25">
      <c r="Q15" cm="1">
        <f t="array" ref="Q15">Table6[Pemasukan]-Table6[Pengeluaran]</f>
        <v>0</v>
      </c>
    </row>
  </sheetData>
  <mergeCells count="6">
    <mergeCell ref="Q7:S7"/>
    <mergeCell ref="Q12:R12"/>
    <mergeCell ref="A3:C3"/>
    <mergeCell ref="E3:G3"/>
    <mergeCell ref="I3:K3"/>
    <mergeCell ref="Q3:S3"/>
  </mergeCells>
  <pageMargins left="0.7" right="0.7" top="0.75" bottom="0.75" header="0.3" footer="0.3"/>
  <tableParts count="6">
    <tablePart r:id="rId1"/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Dashboard</vt:lpstr>
      <vt:lpstr>Pengeluaran</vt:lpstr>
      <vt:lpstr>Pemasukan</vt:lpstr>
      <vt:lpstr>DataTransaksi</vt:lpstr>
      <vt:lpstr>MasterData</vt:lpstr>
      <vt:lpstr>PEMASUKAN</vt:lpstr>
      <vt:lpstr>PENGELUARAN</vt:lpstr>
      <vt:lpstr>TABUNGAN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Ikhsan Adiatma</dc:creator>
  <cp:lastModifiedBy>Ikhsan Adiatma</cp:lastModifiedBy>
  <dcterms:created xsi:type="dcterms:W3CDTF">2025-05-15T09:16:20Z</dcterms:created>
  <dcterms:modified xsi:type="dcterms:W3CDTF">2025-05-16T11:56:17Z</dcterms:modified>
</cp:coreProperties>
</file>